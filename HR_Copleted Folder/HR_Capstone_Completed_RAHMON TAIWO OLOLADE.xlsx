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omePC\Documents\"/>
    </mc:Choice>
  </mc:AlternateContent>
  <xr:revisionPtr revIDLastSave="0" documentId="13_ncr:1_{43D78299-7FDE-4A96-859F-104D4F2B690B}" xr6:coauthVersionLast="47" xr6:coauthVersionMax="47" xr10:uidLastSave="{00000000-0000-0000-0000-000000000000}"/>
  <bookViews>
    <workbookView xWindow="-120" yWindow="-120" windowWidth="20730" windowHeight="11040" firstSheet="1" activeTab="1" xr2:uid="{00000000-000D-0000-FFFF-FFFF00000000}"/>
  </bookViews>
  <sheets>
    <sheet name="Sheet2" sheetId="5" r:id="rId1"/>
    <sheet name="HR_DASHBOARD" sheetId="6" r:id="rId2"/>
    <sheet name="HR_ANALYTICS PIVOT TABLE" sheetId="4" r:id="rId3"/>
    <sheet name="pivot chart" sheetId="7" r:id="rId4"/>
    <sheet name="Sheet1" sheetId="8" r:id="rId5"/>
    <sheet name="Raw_Employee_Data" sheetId="1" r:id="rId6"/>
    <sheet name="Lookup_Departments" sheetId="2" r:id="rId7"/>
    <sheet name="Lookup_Performance" sheetId="3" r:id="rId8"/>
  </sheets>
  <definedNames>
    <definedName name="Employee">Table1[#All]</definedName>
    <definedName name="HR_PIVOT">Table1[#All]</definedName>
    <definedName name="Slicer_Dept_Code">#N/A</definedName>
    <definedName name="Slicer_Employment_Status">#N/A</definedName>
    <definedName name="Slicer_Performance_Band">#N/A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4" l="1"/>
  <c r="G13" i="4"/>
  <c r="G12" i="4"/>
  <c r="H22" i="4"/>
  <c r="B12" i="4"/>
  <c r="M2" i="1" a="1"/>
  <c r="M2" i="1"/>
  <c r="M3" i="1" a="1"/>
  <c r="M3" i="1" s="1"/>
  <c r="M4" i="1" a="1"/>
  <c r="M4" i="1"/>
  <c r="M5" i="1" a="1"/>
  <c r="M5" i="1" s="1"/>
  <c r="M6" i="1" a="1"/>
  <c r="M6" i="1"/>
  <c r="M7" i="1" a="1"/>
  <c r="M7" i="1" s="1"/>
  <c r="M8" i="1" a="1"/>
  <c r="M8" i="1"/>
  <c r="M9" i="1" a="1"/>
  <c r="M9" i="1" s="1"/>
  <c r="M10" i="1" a="1"/>
  <c r="M10" i="1"/>
  <c r="M11" i="1" a="1"/>
  <c r="M11" i="1" s="1"/>
  <c r="M12" i="1" a="1"/>
  <c r="M12" i="1"/>
  <c r="M13" i="1" a="1"/>
  <c r="M13" i="1" s="1"/>
  <c r="M14" i="1" a="1"/>
  <c r="M14" i="1"/>
  <c r="M15" i="1" a="1"/>
  <c r="M15" i="1" s="1"/>
  <c r="M16" i="1" a="1"/>
  <c r="M16" i="1"/>
  <c r="M17" i="1" a="1"/>
  <c r="M17" i="1" s="1"/>
  <c r="M18" i="1" a="1"/>
  <c r="M18" i="1"/>
  <c r="M19" i="1" a="1"/>
  <c r="M19" i="1" s="1"/>
  <c r="M20" i="1" a="1"/>
  <c r="M20" i="1"/>
  <c r="M21" i="1" a="1"/>
  <c r="M21" i="1" s="1"/>
  <c r="M22" i="1" a="1"/>
  <c r="M22" i="1"/>
  <c r="M23" i="1" a="1"/>
  <c r="M23" i="1" s="1"/>
  <c r="M24" i="1" a="1"/>
  <c r="M24" i="1"/>
  <c r="M25" i="1" a="1"/>
  <c r="M25" i="1" s="1"/>
  <c r="M26" i="1" a="1"/>
  <c r="M26" i="1"/>
  <c r="M27" i="1" a="1"/>
  <c r="M27" i="1" s="1"/>
  <c r="M28" i="1" a="1"/>
  <c r="M28" i="1"/>
  <c r="M29" i="1" a="1"/>
  <c r="M29" i="1" s="1"/>
  <c r="M30" i="1" a="1"/>
  <c r="M30" i="1"/>
  <c r="M31" i="1" a="1"/>
  <c r="M31" i="1" s="1"/>
  <c r="M32" i="1" a="1"/>
  <c r="M32" i="1"/>
  <c r="M33" i="1" a="1"/>
  <c r="M33" i="1" s="1"/>
  <c r="M34" i="1" a="1"/>
  <c r="M34" i="1"/>
  <c r="M35" i="1" a="1"/>
  <c r="M35" i="1" s="1"/>
  <c r="M36" i="1" a="1"/>
  <c r="M36" i="1"/>
  <c r="M37" i="1" a="1"/>
  <c r="M37" i="1" s="1"/>
  <c r="M38" i="1" a="1"/>
  <c r="M38" i="1"/>
  <c r="M39" i="1" a="1"/>
  <c r="M39" i="1" s="1"/>
  <c r="M40" i="1" a="1"/>
  <c r="M40" i="1"/>
  <c r="M41" i="1" a="1"/>
  <c r="M41" i="1" s="1"/>
  <c r="M42" i="1" a="1"/>
  <c r="M42" i="1"/>
  <c r="M43" i="1" a="1"/>
  <c r="M43" i="1" s="1"/>
  <c r="M44" i="1" a="1"/>
  <c r="M44" i="1"/>
  <c r="M45" i="1" a="1"/>
  <c r="M45" i="1" s="1"/>
  <c r="M46" i="1" a="1"/>
  <c r="M46" i="1"/>
  <c r="M47" i="1" a="1"/>
  <c r="M47" i="1" s="1"/>
  <c r="M48" i="1" a="1"/>
  <c r="M48" i="1"/>
  <c r="M49" i="1" a="1"/>
  <c r="M49" i="1" s="1"/>
  <c r="M50" i="1" a="1"/>
  <c r="M50" i="1"/>
  <c r="M51" i="1" a="1"/>
  <c r="M51" i="1" s="1"/>
  <c r="M52" i="1" a="1"/>
  <c r="M52" i="1"/>
  <c r="M53" i="1" a="1"/>
  <c r="M53" i="1" s="1"/>
  <c r="M54" i="1" a="1"/>
  <c r="M54" i="1"/>
  <c r="M55" i="1" a="1"/>
  <c r="M55" i="1" s="1"/>
  <c r="M56" i="1" a="1"/>
  <c r="M56" i="1"/>
  <c r="M57" i="1" a="1"/>
  <c r="M57" i="1" s="1"/>
  <c r="M58" i="1" a="1"/>
  <c r="M58" i="1"/>
  <c r="M59" i="1" a="1"/>
  <c r="M59" i="1" s="1"/>
  <c r="M60" i="1" a="1"/>
  <c r="M60" i="1"/>
  <c r="M61" i="1" a="1"/>
  <c r="M61" i="1" s="1"/>
  <c r="M62" i="1" a="1"/>
  <c r="M62" i="1"/>
  <c r="M63" i="1" a="1"/>
  <c r="M63" i="1" s="1"/>
  <c r="M64" i="1" a="1"/>
  <c r="M64" i="1"/>
  <c r="M65" i="1" a="1"/>
  <c r="M65" i="1" s="1"/>
  <c r="M66" i="1" a="1"/>
  <c r="M66" i="1"/>
  <c r="M67" i="1" a="1"/>
  <c r="M67" i="1" s="1"/>
  <c r="M68" i="1" a="1"/>
  <c r="M68" i="1"/>
  <c r="M69" i="1" a="1"/>
  <c r="M69" i="1" s="1"/>
  <c r="M70" i="1" a="1"/>
  <c r="M70" i="1"/>
  <c r="M71" i="1" a="1"/>
  <c r="M71" i="1" s="1"/>
  <c r="M72" i="1" a="1"/>
  <c r="M72" i="1"/>
  <c r="M73" i="1" a="1"/>
  <c r="M73" i="1" s="1"/>
  <c r="M74" i="1" a="1"/>
  <c r="M74" i="1"/>
  <c r="M75" i="1" a="1"/>
  <c r="M75" i="1" s="1"/>
  <c r="M76" i="1" a="1"/>
  <c r="M76" i="1"/>
  <c r="M77" i="1" a="1"/>
  <c r="M77" i="1" s="1"/>
  <c r="M78" i="1" a="1"/>
  <c r="M78" i="1"/>
  <c r="M79" i="1" a="1"/>
  <c r="M79" i="1" s="1"/>
  <c r="M80" i="1" a="1"/>
  <c r="M80" i="1"/>
  <c r="M81" i="1" a="1"/>
  <c r="M81" i="1" s="1"/>
  <c r="M82" i="1" a="1"/>
  <c r="M82" i="1"/>
  <c r="M83" i="1" a="1"/>
  <c r="M83" i="1" s="1"/>
  <c r="M84" i="1" a="1"/>
  <c r="M84" i="1"/>
  <c r="M85" i="1" a="1"/>
  <c r="M85" i="1" s="1"/>
  <c r="M86" i="1" a="1"/>
  <c r="M86" i="1"/>
  <c r="M87" i="1" a="1"/>
  <c r="M87" i="1" s="1"/>
  <c r="M88" i="1" a="1"/>
  <c r="M88" i="1"/>
  <c r="M89" i="1" a="1"/>
  <c r="M89" i="1" s="1"/>
  <c r="M90" i="1" a="1"/>
  <c r="M90" i="1"/>
  <c r="M91" i="1" a="1"/>
  <c r="M91" i="1" s="1"/>
  <c r="M92" i="1" a="1"/>
  <c r="M92" i="1"/>
  <c r="M93" i="1" a="1"/>
  <c r="M93" i="1" s="1"/>
  <c r="M94" i="1" a="1"/>
  <c r="M94" i="1"/>
  <c r="M95" i="1" a="1"/>
  <c r="M95" i="1" s="1"/>
  <c r="M96" i="1" a="1"/>
  <c r="M96" i="1"/>
  <c r="M97" i="1" a="1"/>
  <c r="M97" i="1" s="1"/>
  <c r="M98" i="1" a="1"/>
  <c r="M98" i="1"/>
  <c r="M99" i="1" a="1"/>
  <c r="M99" i="1" s="1"/>
  <c r="M100" i="1" a="1"/>
  <c r="M100" i="1"/>
  <c r="M101" i="1" a="1"/>
  <c r="M101" i="1" s="1"/>
  <c r="M102" i="1" a="1"/>
  <c r="M102" i="1"/>
  <c r="M103" i="1" a="1"/>
  <c r="M103" i="1" s="1"/>
  <c r="M104" i="1" a="1"/>
  <c r="M104" i="1"/>
  <c r="M105" i="1" a="1"/>
  <c r="M105" i="1" s="1"/>
  <c r="M106" i="1" a="1"/>
  <c r="M106" i="1"/>
  <c r="M107" i="1" a="1"/>
  <c r="M107" i="1" s="1"/>
  <c r="M108" i="1" a="1"/>
  <c r="M108" i="1"/>
  <c r="M109" i="1" a="1"/>
  <c r="M109" i="1" s="1"/>
  <c r="M110" i="1" a="1"/>
  <c r="M110" i="1"/>
  <c r="M111" i="1" a="1"/>
  <c r="M111" i="1" s="1"/>
  <c r="M112" i="1" a="1"/>
  <c r="M112" i="1"/>
  <c r="M113" i="1" a="1"/>
  <c r="M113" i="1" s="1"/>
  <c r="M114" i="1" a="1"/>
  <c r="M114" i="1"/>
  <c r="M115" i="1" a="1"/>
  <c r="M115" i="1" s="1"/>
  <c r="M116" i="1" a="1"/>
  <c r="M116" i="1"/>
  <c r="M117" i="1" a="1"/>
  <c r="M117" i="1" s="1"/>
  <c r="M118" i="1" a="1"/>
  <c r="M118" i="1"/>
  <c r="M119" i="1" a="1"/>
  <c r="M119" i="1" s="1"/>
  <c r="M120" i="1" a="1"/>
  <c r="M120" i="1"/>
  <c r="M121" i="1" a="1"/>
  <c r="M121" i="1" s="1"/>
  <c r="M122" i="1" a="1"/>
  <c r="M122" i="1"/>
  <c r="M123" i="1" a="1"/>
  <c r="M123" i="1" s="1"/>
  <c r="M124" i="1" a="1"/>
  <c r="M124" i="1"/>
  <c r="M125" i="1" a="1"/>
  <c r="M125" i="1" s="1"/>
  <c r="M126" i="1" a="1"/>
  <c r="M126" i="1"/>
  <c r="M127" i="1" a="1"/>
  <c r="M127" i="1" s="1"/>
  <c r="M128" i="1" a="1"/>
  <c r="M128" i="1"/>
  <c r="M129" i="1" a="1"/>
  <c r="M129" i="1" s="1"/>
  <c r="M130" i="1" a="1"/>
  <c r="M130" i="1"/>
  <c r="M131" i="1" a="1"/>
  <c r="M131" i="1" s="1"/>
  <c r="M132" i="1" a="1"/>
  <c r="M132" i="1"/>
  <c r="M133" i="1" a="1"/>
  <c r="M133" i="1" s="1"/>
  <c r="M134" i="1" a="1"/>
  <c r="M134" i="1"/>
  <c r="M135" i="1" a="1"/>
  <c r="M135" i="1" s="1"/>
  <c r="M136" i="1" a="1"/>
  <c r="M136" i="1"/>
  <c r="M137" i="1" a="1"/>
  <c r="M137" i="1" s="1"/>
  <c r="M138" i="1" a="1"/>
  <c r="M138" i="1"/>
  <c r="M139" i="1" a="1"/>
  <c r="M139" i="1" s="1"/>
  <c r="M140" i="1" a="1"/>
  <c r="M140" i="1"/>
  <c r="M141" i="1" a="1"/>
  <c r="M141" i="1" s="1"/>
  <c r="M142" i="1" a="1"/>
  <c r="M142" i="1"/>
  <c r="M143" i="1" a="1"/>
  <c r="M143" i="1" s="1"/>
  <c r="M144" i="1" a="1"/>
  <c r="M144" i="1"/>
  <c r="M145" i="1" a="1"/>
  <c r="M145" i="1" s="1"/>
  <c r="M146" i="1" a="1"/>
  <c r="M146" i="1"/>
  <c r="M147" i="1" a="1"/>
  <c r="M147" i="1" s="1"/>
  <c r="M148" i="1" a="1"/>
  <c r="M148" i="1"/>
  <c r="M149" i="1" a="1"/>
  <c r="M149" i="1" s="1"/>
  <c r="M150" i="1" a="1"/>
  <c r="M150" i="1"/>
  <c r="M151" i="1" a="1"/>
  <c r="M151" i="1" s="1"/>
  <c r="L3" i="1" a="1"/>
  <c r="L3" i="1" s="1"/>
  <c r="L2" i="1" a="1"/>
  <c r="L2"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L18" i="4"/>
  <c r="H8" i="4"/>
  <c r="H10" i="4"/>
  <c r="H9" i="4"/>
  <c r="H6" i="4"/>
  <c r="B11" i="4"/>
  <c r="D10" i="4"/>
  <c r="H7" i="4"/>
  <c r="H5" i="4"/>
  <c r="H12" i="4" l="1"/>
  <c r="H13" i="4" s="1"/>
  <c r="H11" i="4"/>
  <c r="I11" i="4" s="1"/>
  <c r="H118" i="1"/>
  <c r="H19" i="1"/>
  <c r="H106" i="1"/>
  <c r="H41" i="1"/>
  <c r="H84" i="1"/>
  <c r="H135" i="1"/>
  <c r="H9" i="1"/>
  <c r="H40" i="1"/>
  <c r="H46" i="1"/>
  <c r="H73" i="1"/>
  <c r="H44" i="1"/>
  <c r="H5" i="1"/>
  <c r="H87" i="1"/>
  <c r="H136" i="1"/>
  <c r="H69" i="1"/>
  <c r="H38" i="1"/>
  <c r="H51" i="1"/>
  <c r="H62" i="1"/>
  <c r="H37" i="1"/>
  <c r="H28" i="1"/>
  <c r="H6" i="1"/>
  <c r="H130" i="1"/>
  <c r="H134" i="1"/>
  <c r="H67" i="1"/>
  <c r="H30" i="1"/>
  <c r="H21" i="1"/>
  <c r="H68" i="1"/>
  <c r="H94" i="1"/>
  <c r="H20" i="1"/>
  <c r="H145" i="1"/>
  <c r="H115" i="1"/>
  <c r="H2" i="1"/>
  <c r="H151" i="1"/>
  <c r="H11" i="1"/>
  <c r="H70" i="1"/>
  <c r="H89" i="1"/>
  <c r="H56" i="1"/>
  <c r="H111" i="1"/>
  <c r="H120" i="1"/>
  <c r="H133" i="1"/>
  <c r="H100" i="1"/>
  <c r="H66" i="1"/>
  <c r="H77" i="1"/>
  <c r="H43" i="1"/>
  <c r="H4" i="1"/>
  <c r="H79" i="1"/>
  <c r="H108" i="1"/>
  <c r="H101" i="1"/>
  <c r="H139" i="1"/>
  <c r="H85" i="1"/>
  <c r="H13" i="1"/>
  <c r="H75" i="1"/>
  <c r="H109" i="1"/>
  <c r="H33" i="1"/>
  <c r="H15" i="1"/>
  <c r="H148" i="1"/>
  <c r="H97" i="1"/>
  <c r="H49" i="1"/>
  <c r="H102" i="1"/>
  <c r="H137" i="1"/>
  <c r="H26" i="1"/>
  <c r="H18" i="1"/>
  <c r="H82" i="1"/>
  <c r="H72" i="1"/>
  <c r="H83" i="1"/>
  <c r="H47" i="1"/>
  <c r="H25" i="1"/>
  <c r="H131" i="1"/>
  <c r="H52" i="1"/>
  <c r="H14" i="1"/>
  <c r="H150" i="1"/>
  <c r="H144" i="1"/>
  <c r="H140" i="1"/>
  <c r="H119" i="1"/>
  <c r="H91" i="1"/>
  <c r="H58" i="1"/>
  <c r="H34" i="1"/>
  <c r="H60" i="1"/>
  <c r="H146" i="1"/>
  <c r="H117" i="1"/>
  <c r="H123" i="1"/>
  <c r="H81" i="1"/>
  <c r="H80" i="1"/>
  <c r="H124" i="1"/>
  <c r="H129" i="1"/>
  <c r="H142" i="1"/>
  <c r="H63" i="1"/>
  <c r="H113" i="1"/>
  <c r="H3" i="1"/>
  <c r="H39" i="1"/>
  <c r="H88" i="1"/>
  <c r="H61" i="1"/>
  <c r="H45" i="1"/>
  <c r="H50" i="1"/>
  <c r="H53" i="1"/>
  <c r="H93" i="1"/>
  <c r="H54" i="1"/>
  <c r="H114" i="1"/>
  <c r="H71" i="1"/>
  <c r="H104" i="1"/>
  <c r="H23" i="1"/>
  <c r="H55" i="1"/>
  <c r="H96" i="1"/>
  <c r="H107" i="1"/>
  <c r="H128" i="1"/>
  <c r="H127" i="1"/>
  <c r="H8" i="1"/>
  <c r="H92" i="1"/>
  <c r="H105" i="1"/>
  <c r="H17" i="1"/>
  <c r="H110" i="1"/>
  <c r="H98" i="1"/>
  <c r="H29" i="1"/>
  <c r="H64" i="1"/>
  <c r="H48" i="1"/>
  <c r="H99" i="1"/>
  <c r="H132" i="1"/>
  <c r="H116" i="1"/>
  <c r="H74" i="1"/>
  <c r="H7" i="1"/>
  <c r="H78" i="1"/>
  <c r="H27" i="1"/>
  <c r="H147" i="1"/>
  <c r="H149" i="1"/>
  <c r="H95" i="1"/>
  <c r="H59" i="1"/>
  <c r="H143" i="1"/>
  <c r="H112" i="1"/>
  <c r="H36" i="1"/>
  <c r="H22" i="1"/>
  <c r="H16" i="1"/>
  <c r="H31" i="1"/>
  <c r="H10" i="1"/>
  <c r="H121" i="1"/>
  <c r="H65" i="1"/>
  <c r="H103" i="1"/>
  <c r="H122" i="1"/>
  <c r="H76" i="1"/>
  <c r="H32" i="1"/>
  <c r="H57" i="1"/>
  <c r="H125" i="1"/>
  <c r="H42" i="1"/>
  <c r="H141" i="1"/>
  <c r="H126" i="1"/>
  <c r="H86" i="1"/>
  <c r="H12" i="1"/>
  <c r="H138" i="1"/>
  <c r="H35" i="1"/>
  <c r="H90" i="1"/>
  <c r="H24"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<sst xmlns="http://schemas.openxmlformats.org/spreadsheetml/2006/main" count="709" uniqueCount="229">
  <si>
    <t>Emp ID</t>
  </si>
  <si>
    <t>First_Name</t>
  </si>
  <si>
    <t>Last_Name</t>
  </si>
  <si>
    <t>Dept Code</t>
  </si>
  <si>
    <t>Hire Date</t>
  </si>
  <si>
    <t>Salary</t>
  </si>
  <si>
    <t>Perf_Score</t>
  </si>
  <si>
    <t>Employment Status</t>
  </si>
  <si>
    <t>EMP127</t>
  </si>
  <si>
    <t>Emily</t>
  </si>
  <si>
    <t>Brown</t>
  </si>
  <si>
    <t>IT02</t>
  </si>
  <si>
    <t>EMP046</t>
  </si>
  <si>
    <t>Richard</t>
  </si>
  <si>
    <t>Hernandez</t>
  </si>
  <si>
    <t>MKT04</t>
  </si>
  <si>
    <t>EMP134</t>
  </si>
  <si>
    <t>Gonzalez</t>
  </si>
  <si>
    <t>EMP139</t>
  </si>
  <si>
    <t>John</t>
  </si>
  <si>
    <t>Martinez</t>
  </si>
  <si>
    <t>FIN03</t>
  </si>
  <si>
    <t>EMP112</t>
  </si>
  <si>
    <t>Thomas</t>
  </si>
  <si>
    <t>Smith</t>
  </si>
  <si>
    <t>EMP030</t>
  </si>
  <si>
    <t>Johnson</t>
  </si>
  <si>
    <t>OPS06</t>
  </si>
  <si>
    <t>EMP096</t>
  </si>
  <si>
    <t>Wilson</t>
  </si>
  <si>
    <t>EMP098</t>
  </si>
  <si>
    <t>Jessica</t>
  </si>
  <si>
    <t>EMP095</t>
  </si>
  <si>
    <t>Rodriguez</t>
  </si>
  <si>
    <t>EMP140</t>
  </si>
  <si>
    <t>Michael</t>
  </si>
  <si>
    <t>SAL05</t>
  </si>
  <si>
    <t>EMP020</t>
  </si>
  <si>
    <t>Miller</t>
  </si>
  <si>
    <t>EMP057</t>
  </si>
  <si>
    <t>EMP016</t>
  </si>
  <si>
    <t>Jane</t>
  </si>
  <si>
    <t>Williams</t>
  </si>
  <si>
    <t>EMP070</t>
  </si>
  <si>
    <t>EMP025</t>
  </si>
  <si>
    <t>Robert</t>
  </si>
  <si>
    <t>Jones</t>
  </si>
  <si>
    <t>EMP031</t>
  </si>
  <si>
    <t>EMP126</t>
  </si>
  <si>
    <t>Davis</t>
  </si>
  <si>
    <t>EMP109</t>
  </si>
  <si>
    <t>James</t>
  </si>
  <si>
    <t>EMP066</t>
  </si>
  <si>
    <t>Ashley</t>
  </si>
  <si>
    <t>Lopez</t>
  </si>
  <si>
    <t>EMP120</t>
  </si>
  <si>
    <t>Amanda</t>
  </si>
  <si>
    <t>EMP019</t>
  </si>
  <si>
    <t>EMP013</t>
  </si>
  <si>
    <t>EMP010</t>
  </si>
  <si>
    <t>EMP032</t>
  </si>
  <si>
    <t>EMP082</t>
  </si>
  <si>
    <t>EMP052</t>
  </si>
  <si>
    <t>EMP129</t>
  </si>
  <si>
    <t>EMP146</t>
  </si>
  <si>
    <t>EMP099</t>
  </si>
  <si>
    <t>EMP015</t>
  </si>
  <si>
    <t>EMP076</t>
  </si>
  <si>
    <t>EMP137</t>
  </si>
  <si>
    <t>EMP056</t>
  </si>
  <si>
    <t>Sarah</t>
  </si>
  <si>
    <t>EMP125</t>
  </si>
  <si>
    <t>HR01</t>
  </si>
  <si>
    <t>EMP085</t>
  </si>
  <si>
    <t>EMP106</t>
  </si>
  <si>
    <t>EMP043</t>
  </si>
  <si>
    <t>EMP068</t>
  </si>
  <si>
    <t>Melissa</t>
  </si>
  <si>
    <t>EMP128</t>
  </si>
  <si>
    <t>EMP027</t>
  </si>
  <si>
    <t>EMP136</t>
  </si>
  <si>
    <t>EMP079</t>
  </si>
  <si>
    <t>David</t>
  </si>
  <si>
    <t>EMP149</t>
  </si>
  <si>
    <t>EMP037</t>
  </si>
  <si>
    <t>EMP077</t>
  </si>
  <si>
    <t>EMP023</t>
  </si>
  <si>
    <t>EMP133</t>
  </si>
  <si>
    <t>EMP141</t>
  </si>
  <si>
    <t>EMP012</t>
  </si>
  <si>
    <t>EMP080</t>
  </si>
  <si>
    <t>EMP069</t>
  </si>
  <si>
    <t>EMP150</t>
  </si>
  <si>
    <t>EMP028</t>
  </si>
  <si>
    <t>EMP087</t>
  </si>
  <si>
    <t>EMP119</t>
  </si>
  <si>
    <t>Garcia</t>
  </si>
  <si>
    <t>EMP042</t>
  </si>
  <si>
    <t>Anderson</t>
  </si>
  <si>
    <t>EMP005</t>
  </si>
  <si>
    <t>EMP033</t>
  </si>
  <si>
    <t>EMP061</t>
  </si>
  <si>
    <t>EMP102</t>
  </si>
  <si>
    <t>EMP067</t>
  </si>
  <si>
    <t>EMP017</t>
  </si>
  <si>
    <t>EMP123</t>
  </si>
  <si>
    <t>EMP011</t>
  </si>
  <si>
    <t>EMP091</t>
  </si>
  <si>
    <t>EMP145</t>
  </si>
  <si>
    <t>EMP001</t>
  </si>
  <si>
    <t>EMP113</t>
  </si>
  <si>
    <t>EMP065</t>
  </si>
  <si>
    <t>EMP045</t>
  </si>
  <si>
    <t>EMP083</t>
  </si>
  <si>
    <t>William</t>
  </si>
  <si>
    <t>EMP029</t>
  </si>
  <si>
    <t>EMP041</t>
  </si>
  <si>
    <t>EMP026</t>
  </si>
  <si>
    <t>EMP024</t>
  </si>
  <si>
    <t>EMP111</t>
  </si>
  <si>
    <t>EMP040</t>
  </si>
  <si>
    <t>EMP086</t>
  </si>
  <si>
    <t>EMP124</t>
  </si>
  <si>
    <t>EMP132</t>
  </si>
  <si>
    <t>EMP048</t>
  </si>
  <si>
    <t>EMP114</t>
  </si>
  <si>
    <t>EMP062</t>
  </si>
  <si>
    <t>EMP074</t>
  </si>
  <si>
    <t>EMP034</t>
  </si>
  <si>
    <t>EMP105</t>
  </si>
  <si>
    <t>EMP118</t>
  </si>
  <si>
    <t>EMP063</t>
  </si>
  <si>
    <t>EMP094</t>
  </si>
  <si>
    <t>EMP097</t>
  </si>
  <si>
    <t>EMP054</t>
  </si>
  <si>
    <t>EMP006</t>
  </si>
  <si>
    <t>EMP110</t>
  </si>
  <si>
    <t>EMP147</t>
  </si>
  <si>
    <t>EMP050</t>
  </si>
  <si>
    <t>EMP036</t>
  </si>
  <si>
    <t>EMP081</t>
  </si>
  <si>
    <t>EMP078</t>
  </si>
  <si>
    <t>EMP035</t>
  </si>
  <si>
    <t>EMP047</t>
  </si>
  <si>
    <t>EMP008</t>
  </si>
  <si>
    <t>EMP044</t>
  </si>
  <si>
    <t>EMP071</t>
  </si>
  <si>
    <t>EMP115</t>
  </si>
  <si>
    <t>EMP092</t>
  </si>
  <si>
    <t>EMP084</t>
  </si>
  <si>
    <t>EMP142</t>
  </si>
  <si>
    <t>EMP143</t>
  </si>
  <si>
    <t>EMP090</t>
  </si>
  <si>
    <t>EMP009</t>
  </si>
  <si>
    <t>EMP014</t>
  </si>
  <si>
    <t>EMP060</t>
  </si>
  <si>
    <t>EMP135</t>
  </si>
  <si>
    <t>EMP004</t>
  </si>
  <si>
    <t>EMP018</t>
  </si>
  <si>
    <t>EMP039</t>
  </si>
  <si>
    <t>EMP073</t>
  </si>
  <si>
    <t>EMP138</t>
  </si>
  <si>
    <t>EMP007</t>
  </si>
  <si>
    <t>EMP144</t>
  </si>
  <si>
    <t>EMP101</t>
  </si>
  <si>
    <t>EMP003</t>
  </si>
  <si>
    <t>EMP121</t>
  </si>
  <si>
    <t>EMP064</t>
  </si>
  <si>
    <t>EMP116</t>
  </si>
  <si>
    <t>EMP055</t>
  </si>
  <si>
    <t>EMP108</t>
  </si>
  <si>
    <t>EMP051</t>
  </si>
  <si>
    <t>EMP059</t>
  </si>
  <si>
    <t>EMP049</t>
  </si>
  <si>
    <t>EMP089</t>
  </si>
  <si>
    <t>EMP022</t>
  </si>
  <si>
    <t>EMP058</t>
  </si>
  <si>
    <t>EMP130</t>
  </si>
  <si>
    <t>EMP038</t>
  </si>
  <si>
    <t>EMP148</t>
  </si>
  <si>
    <t>EMP002</t>
  </si>
  <si>
    <t>EMP053</t>
  </si>
  <si>
    <t>EMP131</t>
  </si>
  <si>
    <t>EMP104</t>
  </si>
  <si>
    <t>EMP100</t>
  </si>
  <si>
    <t>EMP117</t>
  </si>
  <si>
    <t>EMP088</t>
  </si>
  <si>
    <t>EMP075</t>
  </si>
  <si>
    <t>EMP122</t>
  </si>
  <si>
    <t>EMP021</t>
  </si>
  <si>
    <t>EMP072</t>
  </si>
  <si>
    <t>EMP107</t>
  </si>
  <si>
    <t>EMP093</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</si>
  <si>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</si>
  <si>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</si>
  <si>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</si>
  <si>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</si>
  <si>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</si>
  <si>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</si>
  <si>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</si>
  <si>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</si>
  <si>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</si>
  <si>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</si>
  <si>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</si>
  <si>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</si>
  <si>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</si>
  <si>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</si>
  <si>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</si>
  <si>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</si>
  <si>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</si>
  <si>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</si>
  <si>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Full Name</t>
  </si>
  <si>
    <t>Department Name</t>
  </si>
  <si>
    <t>Years of Service</t>
  </si>
  <si>
    <t>Performance Band</t>
  </si>
  <si>
    <t>Bonus</t>
  </si>
  <si>
    <t>Grand Total</t>
  </si>
  <si>
    <t>Count of Emp ID</t>
  </si>
  <si>
    <t>Average of Salary</t>
  </si>
  <si>
    <t>Departments</t>
  </si>
  <si>
    <t>Headcounts and Salary</t>
  </si>
  <si>
    <t>Active</t>
  </si>
  <si>
    <t>Left</t>
  </si>
  <si>
    <t>NO of Employee</t>
  </si>
  <si>
    <t>Attrition Rate</t>
  </si>
  <si>
    <t>Average of Perf_Score</t>
  </si>
  <si>
    <t>Performance score by Employment Status</t>
  </si>
  <si>
    <t>Sum of Bonus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</si>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</sst>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yyyy\-mm\-dd;@"/>
    <numFmt numFmtId="166" formatCode="&quot;$&quot;#,###\K"/>
    <numFmt numFmtId="167" formatCode="&quot;$&quot;#,\K"/>
  </numFmts>
  <fonts count="5" x14ac:knownFonts="1">
    <font>
      <sz val="11"/>
      <color theme="1"/>
      <name val="Calibri"/>
      <family val="2"/>
      <scheme val="minor"/>
    </font>
    <font>
      <b/>
      <sz val="11"/>
      <name val="Calibri"/>
    </font>
    <font>
      <b/>
      <sz val="11"/>
      <name val="Calibri"/>
      <family val="2"/>
    </font>
    <font>
      <sz val="11"/>
      <color theme="1"/>
      <name val="Calibri"/>
      <family val="2"/>
      <scheme val="minor"/>
    </font>
    <font>
      <b/>
      <sz val="26"/>
      <color rgb="FF7030A0"/>
      <name val="Calibri"/>
      <family val="2"/>
      <scheme val="minor"/>
    </font>
  </fonts>
  <fills count="3">
    <fill>
      <patternFill patternType="none"/>
    </fill>
    <fill>
      <patternFill patternType="gray125"/>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3"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2" xfId="0" applyFont="1" applyBorder="1" applyAlignment="1">
      <alignment horizontal="center" vertical="top"/>
    </xf>
    <xf numFmtId="164" fontId="2" fillId="0" borderId="2" xfId="0" applyNumberFormat="1" applyFont="1" applyBorder="1" applyAlignment="1">
      <alignment horizontal="right" vertical="top"/>
    </xf>
    <xf numFmtId="164" fontId="0" fillId="0" borderId="0" xfId="0" applyNumberFormat="1" applyAlignment="1">
      <alignment horizontal="right"/>
    </xf>
    <xf numFmtId="165" fontId="1" fillId="0" borderId="2" xfId="0" applyNumberFormat="1"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1" fontId="0" fillId="0" borderId="0" xfId="0" applyNumberFormat="1"/>
    <xf numFmtId="2" fontId="1" fillId="0" borderId="2" xfId="1" applyNumberFormat="1" applyFont="1" applyBorder="1" applyAlignment="1">
      <alignment horizontal="center" vertical="top"/>
    </xf>
    <xf numFmtId="2" fontId="0" fillId="0" borderId="0" xfId="1" applyNumberFormat="1" applyFont="1"/>
    <xf numFmtId="166" fontId="0" fillId="0" borderId="0" xfId="0" applyNumberFormat="1"/>
    <xf numFmtId="167" fontId="0" fillId="0" borderId="0" xfId="0" applyNumberFormat="1"/>
    <xf numFmtId="9" fontId="0" fillId="0" borderId="0" xfId="0" applyNumberFormat="1"/>
    <xf numFmtId="0" fontId="4" fillId="0" borderId="0" xfId="0" applyFont="1" applyAlignment="1">
      <alignment horizontal="center"/>
    </xf>
    <xf numFmtId="0" fontId="0" fillId="0" borderId="0" xfId="0" applyAlignment="1">
      <alignment horizontal="center"/>
    </xf>
    <xf numFmtId="0" fontId="0" fillId="2" borderId="0" xfId="0" applyFill="1" applyAlignment="1">
      <alignment horizontal="center"/>
    </xf>
    <xf numFmtId="0" fontId="0" fillId="0" borderId="0" xfId="0" applyNumberFormat="1"/>
  </cellXfs>
  <cellStyles count="2">
    <cellStyle name="Normal" xfId="0" builtinId="0"/>
    <cellStyle name="Percent" xfId="1" builtinId="5"/>
  </cellStyles>
  <dxfs count="22">
    <dxf>
      <numFmt numFmtId="2" formatCode="0.00"/>
    </dxf>
    <dxf>
      <numFmt numFmtId="0" formatCode="General"/>
    </dxf>
    <dxf>
      <numFmt numFmtId="0" formatCode="General"/>
    </dxf>
    <dxf>
      <numFmt numFmtId="0" formatCode="General"/>
    </dxf>
    <dxf>
      <numFmt numFmtId="0" formatCode="General"/>
    </dxf>
    <dxf>
      <numFmt numFmtId="1" formatCode="0"/>
    </dxf>
    <dxf>
      <numFmt numFmtId="164" formatCode="&quot;$&quot;#,##0"/>
      <alignment horizontal="right" vertical="bottom" textRotation="0" wrapText="0" indent="0" justifyLastLine="0" shrinkToFit="0" readingOrder="0"/>
    </dxf>
    <dxf>
      <numFmt numFmtId="164" formatCode="&quot;$&quot;#,##0"/>
      <alignment horizontal="right" textRotation="0" wrapText="0" indent="0" justifyLastLine="0" shrinkToFit="0" readingOrder="0"/>
    </dxf>
    <dxf>
      <numFmt numFmtId="165" formatCode="yyyy\-mm\-dd;@"/>
    </dxf>
    <dxf>
      <numFmt numFmtId="165" formatCode="yyyy\-mm\-dd;@"/>
    </dxf>
    <dxf>
      <numFmt numFmtId="30" formatCode="@"/>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7" formatCode="&quot;$&quot;#,\K"/>
    </dxf>
    <dxf>
      <numFmt numFmtId="166" formatCode="&quot;$&quot;#,###\K"/>
    </dxf>
    <dxf>
      <numFmt numFmtId="166" formatCode="&quot;$&quot;#,###\K"/>
    </dxf>
    <dxf>
      <numFmt numFmtId="1" formatCode="0"/>
    </dxf>
    <dxf>
      <numFmt numFmtId="1" formatCode="0"/>
    </dxf>
    <dxf>
      <numFmt numFmtId="1" formatCode="0"/>
    </dxf>
    <dxf>
      <numFmt numFmtId="167" formatCode="&quot;$&quot;#,\K"/>
    </dxf>
  </dxfs>
  <tableStyles count="0" defaultTableStyle="TableStyleMedium9" defaultPivotStyle="PivotStyleLight16"/>
  <colors>
    <mruColors>
      <color rgb="FFCC99FF"/>
      <color rgb="FFB40FC1"/>
      <color rgb="FF7030A0"/>
      <color rgb="FFFFFF00"/>
      <color rgb="FFCC66FF"/>
      <color rgb="FF9900CC"/>
      <color rgb="FFCC00FF"/>
      <color rgb="FFFFFF66"/>
      <color rgb="FFD5D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[HR_Capstone_Completed_RAHMON TAIWO OLOLADE.xlsx]HR_ANALYTICS PIVOT TABLE!PivotTable1</c:name>
    <c:fmtId val="90"/>
  </c:pivotSource>
  <c:chart>
    <c:title>
      <c:tx>
        <c:rich>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Three most paying Departments</a:t>
            </a:r>
            <a:endParaRPr lang="en-US" b="1">
              <a:solidFill>
                <a:schemeClr val="tx1"/>
              </a:solidFill>
            </a:endParaRPr>
          </a:p>
        </c:rich>
      </c:tx>
      <c:layout>
        <c:manualLayout>
          <c:xMode val="edge"/>
          <c:yMode val="edge"/>
          <c:x val="0.14339609722697708"/>
          <c:y val="3.7367979956639409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7030A0"/>
          </a:solidFill>
          <a:ln w="19050">
            <a:solidFill>
              <a:schemeClr val="lt1"/>
            </a:solidFill>
          </a:ln>
          <a:effectLst/>
        </c:spPr>
        <c:marker>
          <c:symbol val="none"/>
        </c:marker>
        <c:dLbl>
          <c:idx val="0"/>
          <c:spPr>
            <a:noFill/>
            <a:ln>
              <a:noFill/>
            </a:ln>
            <a:effectLst/>
          </c:spPr>
          <c:txPr>
            <a:bodyPr rot="2940000" spcFirstLastPara="1" vertOverflow="ellipsis" wrap="square" lIns="38100" tIns="19050" rIns="38100" bIns="19050" anchor="t"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pivotFmt>
      <c:pivotFmt>
        <c:idx val="7"/>
        <c:spPr>
          <a:solidFill>
            <a:srgbClr val="FFFF00">
              <a:alpha val="72000"/>
            </a:srgbClr>
          </a:solidFill>
          <a:ln w="19050">
            <a:solidFill>
              <a:schemeClr val="lt1"/>
            </a:solidFill>
          </a:ln>
          <a:effectLst/>
        </c:spPr>
      </c:pivotFmt>
      <c:pivotFmt>
        <c:idx val="8"/>
        <c:spPr>
          <a:solidFill>
            <a:srgbClr val="7030A0"/>
          </a:solidFill>
          <a:ln w="19050">
            <a:solidFill>
              <a:schemeClr val="lt1"/>
            </a:solidFill>
          </a:ln>
          <a:effectLst/>
        </c:spPr>
      </c:pivotFmt>
      <c:pivotFmt>
        <c:idx val="9"/>
        <c:spPr>
          <a:solidFill>
            <a:srgbClr val="7030A0"/>
          </a:solidFill>
          <a:ln w="19050">
            <a:solidFill>
              <a:schemeClr val="lt1"/>
            </a:solidFill>
          </a:ln>
          <a:effectLst/>
        </c:spPr>
        <c:marker>
          <c:symbol val="none"/>
        </c:marker>
        <c:dLbl>
          <c:idx val="0"/>
          <c:spPr>
            <a:noFill/>
            <a:ln>
              <a:noFill/>
            </a:ln>
            <a:effectLst/>
          </c:spPr>
          <c:txPr>
            <a:bodyPr rot="2940000" spcFirstLastPara="1" vertOverflow="ellipsis" wrap="square" lIns="38100" tIns="19050" rIns="38100" bIns="19050" anchor="t"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pivotFmt>
      <c:pivotFmt>
        <c:idx val="11"/>
        <c:spPr>
          <a:solidFill>
            <a:srgbClr val="FFFF00">
              <a:alpha val="72000"/>
            </a:srgbClr>
          </a:solidFill>
          <a:ln w="19050">
            <a:solidFill>
              <a:schemeClr val="lt1"/>
            </a:solidFill>
          </a:ln>
          <a:effectLst/>
        </c:spPr>
      </c:pivotFmt>
      <c:pivotFmt>
        <c:idx val="12"/>
        <c:spPr>
          <a:solidFill>
            <a:srgbClr val="7030A0"/>
          </a:solidFill>
          <a:ln w="19050">
            <a:solidFill>
              <a:schemeClr val="lt1"/>
            </a:solidFill>
          </a:ln>
          <a:effectLst/>
        </c:spPr>
      </c:pivotFmt>
      <c:pivotFmt>
        <c:idx val="13"/>
        <c:spPr>
          <a:solidFill>
            <a:srgbClr val="7030A0"/>
          </a:solidFill>
          <a:ln w="19050">
            <a:solidFill>
              <a:schemeClr val="lt1"/>
            </a:solidFill>
          </a:ln>
          <a:effectLst/>
        </c:spPr>
        <c:marker>
          <c:symbol val="none"/>
        </c:marker>
        <c:dLbl>
          <c:idx val="0"/>
          <c:spPr>
            <a:noFill/>
            <a:ln>
              <a:noFill/>
            </a:ln>
            <a:effectLst/>
          </c:spPr>
          <c:txPr>
            <a:bodyPr rot="2940000" spcFirstLastPara="1" vertOverflow="ellipsis" wrap="square" lIns="38100" tIns="19050" rIns="38100" bIns="19050" anchor="t"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w="19050">
            <a:solidFill>
              <a:schemeClr val="lt1"/>
            </a:solidFill>
          </a:ln>
          <a:effectLst/>
        </c:spPr>
      </c:pivotFmt>
      <c:pivotFmt>
        <c:idx val="15"/>
        <c:spPr>
          <a:solidFill>
            <a:srgbClr val="FFFF00">
              <a:alpha val="72000"/>
            </a:srgbClr>
          </a:solidFill>
          <a:ln w="19050">
            <a:solidFill>
              <a:schemeClr val="lt1"/>
            </a:solidFill>
          </a:ln>
          <a:effectLst/>
        </c:spPr>
      </c:pivotFmt>
      <c:pivotFmt>
        <c:idx val="16"/>
        <c:spPr>
          <a:solidFill>
            <a:srgbClr val="7030A0"/>
          </a:solidFill>
          <a:ln w="19050">
            <a:solidFill>
              <a:schemeClr val="lt1"/>
            </a:solidFill>
          </a:ln>
          <a:effectLst/>
        </c:spPr>
      </c:pivotFmt>
    </c:pivotFmts>
    <c:plotArea>
      <c:layout>
        <c:manualLayout>
          <c:layoutTarget val="inner"/>
          <c:xMode val="edge"/>
          <c:yMode val="edge"/>
          <c:x val="9.730033745781777E-2"/>
          <c:y val="0.29593282394532311"/>
          <c:w val="0.44601327008037039"/>
          <c:h val="0.67083125120452891"/>
        </c:manualLayout>
      </c:layout>
      <c:doughnutChart>
        <c:varyColors val="1"/>
        <c:ser>
          <c:idx val="0"/>
          <c:order val="0"/>
          <c:tx>
            <c:strRef>
              <c:f>'HR_ANALYTICS PIVOT TABLE'!$H$17</c:f>
              <c:strCache>
                <c:ptCount val="1"/>
                <c:pt idx="0">
                  <c:v>Total</c:v>
                </c:pt>
              </c:strCache>
            </c:strRef>
          </c:tx>
          <c:spPr>
            <a:solidFill>
              <a:srgbClr val="7030A0"/>
            </a:solidFill>
          </c:spPr>
          <c:explosion val="2"/>
          <c:dPt>
            <c:idx val="0"/>
            <c:bubble3D val="0"/>
            <c:spPr>
              <a:solidFill>
                <a:schemeClr val="accent4"/>
              </a:solidFill>
              <a:ln w="19050">
                <a:solidFill>
                  <a:schemeClr val="lt1"/>
                </a:solidFill>
              </a:ln>
              <a:effectLst/>
            </c:spPr>
            <c:extLst>
              <c:ext xmlns:c16="http://schemas.microsoft.com/office/drawing/2014/chart" uri="{C3380CC4-5D6E-409C-BE32-E72D297353CC}">
                <c16:uniqueId val="{00000001-DCEB-498A-A77E-73740D482373}"/>
              </c:ext>
            </c:extLst>
          </c:dPt>
          <c:dPt>
            <c:idx val="1"/>
            <c:bubble3D val="0"/>
            <c:spPr>
              <a:solidFill>
                <a:srgbClr val="FFFF00">
                  <a:alpha val="72000"/>
                </a:srgbClr>
              </a:solidFill>
              <a:ln w="19050">
                <a:solidFill>
                  <a:schemeClr val="lt1"/>
                </a:solidFill>
              </a:ln>
              <a:effectLst/>
            </c:spPr>
            <c:extLst>
              <c:ext xmlns:c16="http://schemas.microsoft.com/office/drawing/2014/chart" uri="{C3380CC4-5D6E-409C-BE32-E72D297353CC}">
                <c16:uniqueId val="{00000003-DCEB-498A-A77E-73740D482373}"/>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DCEB-498A-A77E-73740D482373}"/>
              </c:ext>
            </c:extLst>
          </c:dPt>
          <c:dLbls>
            <c:spPr>
              <a:noFill/>
              <a:ln>
                <a:noFill/>
              </a:ln>
              <a:effectLst/>
            </c:spPr>
            <c:txPr>
              <a:bodyPr rot="2940000" spcFirstLastPara="1" vertOverflow="ellipsis" wrap="square" lIns="38100" tIns="19050" rIns="38100" bIns="19050" anchor="t"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'HR_ANALYTICS PIVOT TABLE'!$G$18:$G$20</c:f>
              <c:strCache>
                <c:ptCount val="3"/>
                <c:pt idx="0">
                  <c:v>Finance</c:v>
                </c:pt>
                <c:pt idx="1">
                  <c:v>Human Resources</c:v>
                </c:pt>
                <c:pt idx="2">
                  <c:v>Sales</c:v>
                </c:pt>
              </c:strCache>
            </c:strRef>
          </c:cat>
          <c:val>
            <c:numRef>
              <c:f>'HR_ANALYTICS PIVOT TABLE'!$H$18:$H$20</c:f>
              <c:numCache>
                <c:formatCode>"$"#,\K</c:formatCode>
                <c:ptCount val="3"/>
                <c:pt idx="0">
                  <c:v>87147.117647058825</c:v>
                </c:pt>
                <c:pt idx="1">
                  <c:v>85459.666666666672</c:v>
                </c:pt>
                <c:pt idx="2">
                  <c:v>86209.741935483864</c:v>
                </c:pt>
              </c:numCache>
            </c:numRef>
          </c:val>
          <c:extLst>
            <c:ext xmlns:c16="http://schemas.microsoft.com/office/drawing/2014/chart" uri="{C3380CC4-5D6E-409C-BE32-E72D297353CC}">
              <c16:uniqueId val="{00000006-DCEB-498A-A77E-73740D482373}"/>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66FF">
        <a:alpha val="5098"/>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[HR_Capstone_Completed_RAHMON TAIWO OLOLADE.xlsx]HR_ANALYTICS PIVOT TABLE!PivotTable3</c:name>
    <c:fmtId val="8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Headcount</a:t>
            </a:r>
            <a:r>
              <a:rPr lang="en-US" b="1" baseline="0">
                <a:solidFill>
                  <a:schemeClr val="tx1"/>
                </a:solidFill>
              </a:rPr>
              <a:t> by Average Salary and Deparments</a:t>
            </a:r>
            <a:endParaRPr lang="en-US" b="1">
              <a:solidFill>
                <a:schemeClr val="tx1"/>
              </a:solidFill>
            </a:endParaRPr>
          </a:p>
        </c:rich>
      </c:tx>
      <c:layout>
        <c:manualLayout>
          <c:xMode val="edge"/>
          <c:yMode val="edge"/>
          <c:x val="0.16082351556035709"/>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018896260014745E-2"/>
          <c:y val="0.25083333333333335"/>
          <c:w val="0.60871914632718149"/>
          <c:h val="0.36951370662000582"/>
        </c:manualLayout>
      </c:layout>
      <c:barChart>
        <c:barDir val="col"/>
        <c:grouping val="clustered"/>
        <c:varyColors val="0"/>
        <c:ser>
          <c:idx val="0"/>
          <c:order val="0"/>
          <c:tx>
            <c:strRef>
              <c:f>'HR_ANALYTICS PIVOT TABLE'!$B$3</c:f>
              <c:strCache>
                <c:ptCount val="1"/>
                <c:pt idx="0">
                  <c:v>Average of Salary</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'HR_ANALYTICS PIVOT TABLE'!$A$4:$A$10</c:f>
              <c:strCache>
                <c:ptCount val="6"/>
                <c:pt idx="0">
                  <c:v>Finance</c:v>
                </c:pt>
                <c:pt idx="1">
                  <c:v>Human Resources</c:v>
                </c:pt>
                <c:pt idx="2">
                  <c:v>Marketing</c:v>
                </c:pt>
                <c:pt idx="3">
                  <c:v>Operations</c:v>
                </c:pt>
                <c:pt idx="4">
                  <c:v>Sales</c:v>
                </c:pt>
                <c:pt idx="5">
                  <c:v>Information Technology</c:v>
                </c:pt>
              </c:strCache>
            </c:strRef>
          </c:cat>
          <c:val>
            <c:numRef>
              <c:f>'HR_ANALYTICS PIVOT TABLE'!$B$4:$B$10</c:f>
              <c:numCache>
                <c:formatCode>"$"#,\K</c:formatCode>
                <c:ptCount val="6"/>
                <c:pt idx="0">
                  <c:v>87147.117647058825</c:v>
                </c:pt>
                <c:pt idx="1">
                  <c:v>85459.666666666672</c:v>
                </c:pt>
                <c:pt idx="2">
                  <c:v>85406.789473684214</c:v>
                </c:pt>
                <c:pt idx="3">
                  <c:v>80008.413793103449</c:v>
                </c:pt>
                <c:pt idx="4">
                  <c:v>86209.741935483864</c:v>
                </c:pt>
                <c:pt idx="5">
                  <c:v>80511.722222222219</c:v>
                </c:pt>
              </c:numCache>
            </c:numRef>
          </c:val>
          <c:extLst>
            <c:ext xmlns:c16="http://schemas.microsoft.com/office/drawing/2014/chart" uri="{C3380CC4-5D6E-409C-BE32-E72D297353CC}">
              <c16:uniqueId val="{00000000-5C21-4CA2-AAA6-07165A1A226D}"/>
            </c:ext>
          </c:extLst>
        </c:ser>
        <c:dLbls>
          <c:dLblPos val="inBase"/>
          <c:showLegendKey val="0"/>
          <c:showVal val="1"/>
          <c:showCatName val="0"/>
          <c:showSerName val="0"/>
          <c:showPercent val="0"/>
          <c:showBubbleSize val="0"/>
        </c:dLbls>
        <c:gapWidth val="100"/>
        <c:overlap val="29"/>
        <c:axId val="383199200"/>
        <c:axId val="405514688"/>
      </c:barChart>
      <c:lineChart>
        <c:grouping val="stacked"/>
        <c:varyColors val="0"/>
        <c:ser>
          <c:idx val="1"/>
          <c:order val="1"/>
          <c:tx>
            <c:strRef>
              <c:f>'HR_ANALYTICS PIVOT TABLE'!$C$3</c:f>
              <c:strCache>
                <c:ptCount val="1"/>
                <c:pt idx="0">
                  <c:v>Count of Emp ID</c:v>
                </c:pt>
              </c:strCache>
            </c:strRef>
          </c:tx>
          <c:spPr>
            <a:ln w="28575" cap="rnd">
              <a:solidFill>
                <a:srgbClr val="FFFF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'HR_ANALYTICS PIVOT TABLE'!$A$4:$A$10</c:f>
              <c:strCache>
                <c:ptCount val="6"/>
                <c:pt idx="0">
                  <c:v>Finance</c:v>
                </c:pt>
                <c:pt idx="1">
                  <c:v>Human Resources</c:v>
                </c:pt>
                <c:pt idx="2">
                  <c:v>Marketing</c:v>
                </c:pt>
                <c:pt idx="3">
                  <c:v>Operations</c:v>
                </c:pt>
                <c:pt idx="4">
                  <c:v>Sales</c:v>
                </c:pt>
                <c:pt idx="5">
                  <c:v>Information Technology</c:v>
                </c:pt>
              </c:strCache>
            </c:strRef>
          </c:cat>
          <c:val>
            <c:numRef>
              <c:f>'HR_ANALYTICS PIVOT TABLE'!$C$4:$C$10</c:f>
              <c:numCache>
                <c:formatCode>General</c:formatCode>
                <c:ptCount val="6"/>
                <c:pt idx="0">
                  <c:v>17</c:v>
                </c:pt>
                <c:pt idx="1">
                  <c:v>18</c:v>
                </c:pt>
                <c:pt idx="2">
                  <c:v>19</c:v>
                </c:pt>
                <c:pt idx="3">
                  <c:v>29</c:v>
                </c:pt>
                <c:pt idx="4">
                  <c:v>31</c:v>
                </c:pt>
                <c:pt idx="5">
                  <c:v>36</c:v>
                </c:pt>
              </c:numCache>
            </c:numRef>
          </c:val>
          <c:smooth val="0"/>
          <c:extLst>
            <c:ext xmlns:c16="http://schemas.microsoft.com/office/drawing/2014/chart" uri="{C3380CC4-5D6E-409C-BE32-E72D297353CC}">
              <c16:uniqueId val="{00000001-5C21-4CA2-AAA6-07165A1A226D}"/>
            </c:ext>
          </c:extLst>
        </c:ser>
        <c:dLbls>
          <c:showLegendKey val="0"/>
          <c:showVal val="1"/>
          <c:showCatName val="0"/>
          <c:showSerName val="0"/>
          <c:showPercent val="0"/>
          <c:showBubbleSize val="0"/>
        </c:dLbls>
        <c:marker val="1"/>
        <c:smooth val="0"/>
        <c:axId val="383203840"/>
        <c:axId val="405507488"/>
      </c:lineChart>
      <c:catAx>
        <c:axId val="38319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05514688"/>
        <c:crosses val="autoZero"/>
        <c:auto val="1"/>
        <c:lblAlgn val="ctr"/>
        <c:lblOffset val="100"/>
        <c:noMultiLvlLbl val="0"/>
      </c:catAx>
      <c:valAx>
        <c:axId val="405514688"/>
        <c:scaling>
          <c:orientation val="minMax"/>
        </c:scaling>
        <c:delete val="0"/>
        <c:axPos val="l"/>
        <c:numFmt formatCode="&quot;$&quot;#,\K"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199200"/>
        <c:crosses val="autoZero"/>
        <c:crossBetween val="between"/>
      </c:valAx>
      <c:valAx>
        <c:axId val="405507488"/>
        <c:scaling>
          <c:orientation val="minMax"/>
        </c:scaling>
        <c:delete val="0"/>
        <c:axPos val="r"/>
        <c:numFmt formatCode="General" sourceLinked="1"/>
        <c:majorTickMark val="none"/>
        <c:minorTickMark val="none"/>
        <c:tickLblPos val="none"/>
        <c:spPr>
          <a:noFill/>
          <a:ln>
            <a:solidFill>
              <a:sysClr val="windowText" lastClr="000000">
                <a:lumMod val="25000"/>
                <a:lumOff val="75000"/>
              </a:sys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203840"/>
        <c:crosses val="max"/>
        <c:crossBetween val="between"/>
      </c:valAx>
      <c:catAx>
        <c:axId val="383203840"/>
        <c:scaling>
          <c:orientation val="minMax"/>
        </c:scaling>
        <c:delete val="1"/>
        <c:axPos val="b"/>
        <c:numFmt formatCode="General" sourceLinked="1"/>
        <c:majorTickMark val="out"/>
        <c:minorTickMark val="none"/>
        <c:tickLblPos val="nextTo"/>
        <c:crossAx val="405507488"/>
        <c:crosses val="autoZero"/>
        <c:auto val="1"/>
        <c:lblAlgn val="ctr"/>
        <c:lblOffset val="100"/>
        <c:noMultiLvlLbl val="0"/>
      </c:catAx>
      <c:spPr>
        <a:noFill/>
        <a:ln>
          <a:noFill/>
        </a:ln>
        <a:effectLst/>
      </c:spPr>
    </c:plotArea>
    <c:legend>
      <c:legendPos val="r"/>
      <c:layout>
        <c:manualLayout>
          <c:xMode val="edge"/>
          <c:yMode val="edge"/>
          <c:x val="0.69723410557932231"/>
          <c:y val="0.42923556430446197"/>
          <c:w val="0.28176851909259376"/>
          <c:h val="0.385762550957725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66FF">
        <a:alpha val="5098"/>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[HR_Capstone_Completed_RAHMON TAIWO OLOLADE.xlsx]HR_ANALYTICS 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Employee</a:t>
            </a:r>
            <a:r>
              <a:rPr lang="en-US" b="1" baseline="0">
                <a:solidFill>
                  <a:schemeClr val="tx1"/>
                </a:solidFill>
              </a:rPr>
              <a:t> Performance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40F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40FC1">
              <a:alpha val="80000"/>
            </a:srgbClr>
          </a:solidFill>
          <a:ln>
            <a:noFill/>
          </a:ln>
          <a:effectLst/>
        </c:spPr>
      </c:pivotFmt>
      <c:pivotFmt>
        <c:idx val="7"/>
        <c:spPr>
          <a:solidFill>
            <a:srgbClr val="B40FC1">
              <a:alpha val="70000"/>
            </a:srgbClr>
          </a:solidFill>
          <a:ln>
            <a:noFill/>
          </a:ln>
          <a:effectLst/>
        </c:spPr>
      </c:pivotFmt>
      <c:pivotFmt>
        <c:idx val="8"/>
        <c:spPr>
          <a:solidFill>
            <a:srgbClr val="B40FC1">
              <a:alpha val="60000"/>
            </a:srgbClr>
          </a:solidFill>
          <a:ln>
            <a:noFill/>
          </a:ln>
          <a:effectLst/>
        </c:spPr>
      </c:pivotFmt>
      <c:pivotFmt>
        <c:idx val="9"/>
        <c:spPr>
          <a:solidFill>
            <a:srgbClr val="B40FC1">
              <a:alpha val="85000"/>
            </a:srgbClr>
          </a:solidFill>
          <a:ln>
            <a:noFill/>
          </a:ln>
          <a:effectLst/>
        </c:spPr>
      </c:pivotFmt>
      <c:pivotFmt>
        <c:idx val="10"/>
        <c:spPr>
          <a:solidFill>
            <a:srgbClr val="B40FC1">
              <a:alpha val="90000"/>
            </a:srgbClr>
          </a:solidFill>
          <a:ln>
            <a:noFill/>
          </a:ln>
          <a:effectLst/>
        </c:spPr>
      </c:pivotFmt>
      <c:pivotFmt>
        <c:idx val="11"/>
        <c:spPr>
          <a:solidFill>
            <a:srgbClr val="FFFF00">
              <a:alpha val="90000"/>
            </a:srgbClr>
          </a:solidFill>
          <a:ln>
            <a:noFill/>
          </a:ln>
          <a:effectLst/>
        </c:spPr>
      </c:pivotFmt>
      <c:pivotFmt>
        <c:idx val="12"/>
        <c:spPr>
          <a:solidFill>
            <a:srgbClr val="FFFF00">
              <a:alpha val="85000"/>
            </a:srgbClr>
          </a:solidFill>
          <a:ln>
            <a:noFill/>
          </a:ln>
          <a:effectLst/>
        </c:spPr>
      </c:pivotFmt>
      <c:pivotFmt>
        <c:idx val="13"/>
        <c:spPr>
          <a:solidFill>
            <a:srgbClr val="FFFF00">
              <a:alpha val="80000"/>
            </a:srgbClr>
          </a:solidFill>
          <a:ln>
            <a:noFill/>
          </a:ln>
          <a:effectLst/>
        </c:spPr>
      </c:pivotFmt>
      <c:pivotFmt>
        <c:idx val="14"/>
        <c:spPr>
          <a:solidFill>
            <a:srgbClr val="FFFF00">
              <a:alpha val="70000"/>
            </a:srgbClr>
          </a:solidFill>
          <a:ln>
            <a:noFill/>
          </a:ln>
          <a:effectLst/>
        </c:spPr>
      </c:pivotFmt>
      <c:pivotFmt>
        <c:idx val="15"/>
        <c:spPr>
          <a:solidFill>
            <a:srgbClr val="FFFF00">
              <a:alpha val="50000"/>
            </a:srgbClr>
          </a:solidFill>
          <a:ln>
            <a:noFill/>
          </a:ln>
          <a:effectLst/>
        </c:spPr>
      </c:pivotFmt>
      <c:pivotFmt>
        <c:idx val="16"/>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FF00">
              <a:alpha val="80000"/>
            </a:srgbClr>
          </a:solidFill>
          <a:ln>
            <a:noFill/>
          </a:ln>
          <a:effectLst/>
        </c:spPr>
      </c:pivotFmt>
      <c:pivotFmt>
        <c:idx val="18"/>
        <c:spPr>
          <a:solidFill>
            <a:srgbClr val="FFFF00">
              <a:alpha val="90000"/>
            </a:srgbClr>
          </a:solidFill>
          <a:ln>
            <a:noFill/>
          </a:ln>
          <a:effectLst/>
        </c:spPr>
      </c:pivotFmt>
      <c:pivotFmt>
        <c:idx val="19"/>
        <c:spPr>
          <a:solidFill>
            <a:srgbClr val="FFFF00">
              <a:alpha val="70000"/>
            </a:srgbClr>
          </a:solidFill>
          <a:ln>
            <a:noFill/>
          </a:ln>
          <a:effectLst/>
        </c:spPr>
      </c:pivotFmt>
      <c:pivotFmt>
        <c:idx val="20"/>
        <c:spPr>
          <a:solidFill>
            <a:srgbClr val="FFFF00">
              <a:alpha val="85000"/>
            </a:srgbClr>
          </a:solidFill>
          <a:ln>
            <a:noFill/>
          </a:ln>
          <a:effectLst/>
        </c:spPr>
      </c:pivotFmt>
      <c:pivotFmt>
        <c:idx val="21"/>
        <c:spPr>
          <a:solidFill>
            <a:srgbClr val="FFFF00">
              <a:alpha val="50000"/>
            </a:srgbClr>
          </a:solidFill>
          <a:ln>
            <a:noFill/>
          </a:ln>
          <a:effectLst/>
        </c:spPr>
      </c:pivotFmt>
      <c:pivotFmt>
        <c:idx val="22"/>
        <c:spPr>
          <a:solidFill>
            <a:srgbClr val="B40F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B40FC1">
              <a:alpha val="85000"/>
            </a:srgbClr>
          </a:solidFill>
          <a:ln>
            <a:noFill/>
          </a:ln>
          <a:effectLst/>
        </c:spPr>
      </c:pivotFmt>
      <c:pivotFmt>
        <c:idx val="24"/>
        <c:spPr>
          <a:solidFill>
            <a:srgbClr val="B40FC1">
              <a:alpha val="60000"/>
            </a:srgbClr>
          </a:solidFill>
          <a:ln>
            <a:noFill/>
          </a:ln>
          <a:effectLst/>
        </c:spPr>
      </c:pivotFmt>
      <c:pivotFmt>
        <c:idx val="25"/>
        <c:spPr>
          <a:solidFill>
            <a:srgbClr val="B40FC1">
              <a:alpha val="70000"/>
            </a:srgbClr>
          </a:solidFill>
          <a:ln>
            <a:noFill/>
          </a:ln>
          <a:effectLst/>
        </c:spPr>
      </c:pivotFmt>
      <c:pivotFmt>
        <c:idx val="26"/>
        <c:spPr>
          <a:solidFill>
            <a:srgbClr val="B40FC1">
              <a:alpha val="80000"/>
            </a:srgbClr>
          </a:solidFill>
          <a:ln>
            <a:noFill/>
          </a:ln>
          <a:effectLst/>
        </c:spPr>
      </c:pivotFmt>
      <c:pivotFmt>
        <c:idx val="27"/>
        <c:spPr>
          <a:solidFill>
            <a:srgbClr val="B40FC1">
              <a:alpha val="90000"/>
            </a:srgbClr>
          </a:solidFill>
          <a:ln>
            <a:noFill/>
          </a:ln>
          <a:effectLst/>
        </c:spPr>
      </c:pivotFmt>
      <c:pivotFmt>
        <c:idx val="28"/>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FF00">
              <a:alpha val="80000"/>
            </a:srgbClr>
          </a:solidFill>
          <a:ln>
            <a:noFill/>
          </a:ln>
          <a:effectLst/>
        </c:spPr>
      </c:pivotFmt>
      <c:pivotFmt>
        <c:idx val="30"/>
        <c:spPr>
          <a:solidFill>
            <a:srgbClr val="FFFF00">
              <a:alpha val="90000"/>
            </a:srgbClr>
          </a:solidFill>
          <a:ln>
            <a:noFill/>
          </a:ln>
          <a:effectLst/>
        </c:spPr>
      </c:pivotFmt>
      <c:pivotFmt>
        <c:idx val="31"/>
        <c:spPr>
          <a:solidFill>
            <a:srgbClr val="FFFF00">
              <a:alpha val="70000"/>
            </a:srgbClr>
          </a:solidFill>
          <a:ln>
            <a:noFill/>
          </a:ln>
          <a:effectLst/>
        </c:spPr>
      </c:pivotFmt>
      <c:pivotFmt>
        <c:idx val="32"/>
        <c:spPr>
          <a:solidFill>
            <a:srgbClr val="FFFF00">
              <a:alpha val="85000"/>
            </a:srgbClr>
          </a:solidFill>
          <a:ln>
            <a:noFill/>
          </a:ln>
          <a:effectLst/>
        </c:spPr>
      </c:pivotFmt>
      <c:pivotFmt>
        <c:idx val="33"/>
        <c:spPr>
          <a:solidFill>
            <a:srgbClr val="FFFF00">
              <a:alpha val="50000"/>
            </a:srgbClr>
          </a:solidFill>
          <a:ln>
            <a:noFill/>
          </a:ln>
          <a:effectLst/>
        </c:spPr>
      </c:pivotFmt>
      <c:pivotFmt>
        <c:idx val="34"/>
        <c:spPr>
          <a:solidFill>
            <a:srgbClr val="B40F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B40FC1">
              <a:alpha val="85000"/>
            </a:srgbClr>
          </a:solidFill>
          <a:ln>
            <a:noFill/>
          </a:ln>
          <a:effectLst/>
        </c:spPr>
      </c:pivotFmt>
      <c:pivotFmt>
        <c:idx val="36"/>
        <c:spPr>
          <a:solidFill>
            <a:srgbClr val="B40FC1">
              <a:alpha val="60000"/>
            </a:srgbClr>
          </a:solidFill>
          <a:ln>
            <a:noFill/>
          </a:ln>
          <a:effectLst/>
        </c:spPr>
      </c:pivotFmt>
      <c:pivotFmt>
        <c:idx val="37"/>
        <c:spPr>
          <a:solidFill>
            <a:srgbClr val="B40FC1">
              <a:alpha val="70000"/>
            </a:srgbClr>
          </a:solidFill>
          <a:ln>
            <a:noFill/>
          </a:ln>
          <a:effectLst/>
        </c:spPr>
      </c:pivotFmt>
      <c:pivotFmt>
        <c:idx val="38"/>
        <c:spPr>
          <a:solidFill>
            <a:srgbClr val="B40FC1">
              <a:alpha val="80000"/>
            </a:srgbClr>
          </a:solidFill>
          <a:ln>
            <a:noFill/>
          </a:ln>
          <a:effectLst/>
        </c:spPr>
      </c:pivotFmt>
      <c:pivotFmt>
        <c:idx val="39"/>
        <c:spPr>
          <a:solidFill>
            <a:srgbClr val="B40FC1">
              <a:alpha val="90000"/>
            </a:srgbClr>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45247161335314"/>
          <c:y val="0.14249781277340332"/>
          <c:w val="0.56883456269938415"/>
          <c:h val="0.75010279965004378"/>
        </c:manualLayout>
      </c:layout>
      <c:barChart>
        <c:barDir val="bar"/>
        <c:grouping val="clustered"/>
        <c:varyColors val="0"/>
        <c:ser>
          <c:idx val="0"/>
          <c:order val="0"/>
          <c:tx>
            <c:strRef>
              <c:f>'HR_ANALYTICS PIVOT TABLE'!$L$3:$L$4</c:f>
              <c:strCache>
                <c:ptCount val="1"/>
                <c:pt idx="0">
                  <c:v>Active</c:v>
                </c:pt>
              </c:strCache>
            </c:strRef>
          </c:tx>
          <c:spPr>
            <a:solidFill>
              <a:srgbClr val="FFFF00"/>
            </a:solidFill>
            <a:ln>
              <a:noFill/>
            </a:ln>
            <a:effectLst/>
          </c:spPr>
          <c:invertIfNegative val="0"/>
          <c:dPt>
            <c:idx val="0"/>
            <c:invertIfNegative val="0"/>
            <c:bubble3D val="0"/>
            <c:spPr>
              <a:solidFill>
                <a:srgbClr val="FFFF00">
                  <a:alpha val="80000"/>
                </a:srgbClr>
              </a:solidFill>
              <a:ln>
                <a:noFill/>
              </a:ln>
              <a:effectLst/>
            </c:spPr>
            <c:extLst>
              <c:ext xmlns:c16="http://schemas.microsoft.com/office/drawing/2014/chart" uri="{C3380CC4-5D6E-409C-BE32-E72D297353CC}">
                <c16:uniqueId val="{00000001-7103-451C-A09B-5FD99BE1C8EF}"/>
              </c:ext>
            </c:extLst>
          </c:dPt>
          <c:dPt>
            <c:idx val="1"/>
            <c:invertIfNegative val="0"/>
            <c:bubble3D val="0"/>
            <c:spPr>
              <a:solidFill>
                <a:srgbClr val="FFFF00">
                  <a:alpha val="90000"/>
                </a:srgbClr>
              </a:solidFill>
              <a:ln>
                <a:noFill/>
              </a:ln>
              <a:effectLst/>
            </c:spPr>
            <c:extLst>
              <c:ext xmlns:c16="http://schemas.microsoft.com/office/drawing/2014/chart" uri="{C3380CC4-5D6E-409C-BE32-E72D297353CC}">
                <c16:uniqueId val="{00000003-7103-451C-A09B-5FD99BE1C8EF}"/>
              </c:ext>
            </c:extLst>
          </c:dPt>
          <c:dPt>
            <c:idx val="2"/>
            <c:invertIfNegative val="0"/>
            <c:bubble3D val="0"/>
            <c:spPr>
              <a:solidFill>
                <a:srgbClr val="FFFF00">
                  <a:alpha val="70000"/>
                </a:srgbClr>
              </a:solidFill>
              <a:ln>
                <a:noFill/>
              </a:ln>
              <a:effectLst/>
            </c:spPr>
            <c:extLst>
              <c:ext xmlns:c16="http://schemas.microsoft.com/office/drawing/2014/chart" uri="{C3380CC4-5D6E-409C-BE32-E72D297353CC}">
                <c16:uniqueId val="{00000005-7103-451C-A09B-5FD99BE1C8EF}"/>
              </c:ext>
            </c:extLst>
          </c:dPt>
          <c:dPt>
            <c:idx val="4"/>
            <c:invertIfNegative val="0"/>
            <c:bubble3D val="0"/>
            <c:spPr>
              <a:solidFill>
                <a:srgbClr val="FFFF00">
                  <a:alpha val="85000"/>
                </a:srgbClr>
              </a:solidFill>
              <a:ln>
                <a:noFill/>
              </a:ln>
              <a:effectLst/>
            </c:spPr>
            <c:extLst>
              <c:ext xmlns:c16="http://schemas.microsoft.com/office/drawing/2014/chart" uri="{C3380CC4-5D6E-409C-BE32-E72D297353CC}">
                <c16:uniqueId val="{00000007-7103-451C-A09B-5FD99BE1C8EF}"/>
              </c:ext>
            </c:extLst>
          </c:dPt>
          <c:dPt>
            <c:idx val="5"/>
            <c:invertIfNegative val="0"/>
            <c:bubble3D val="0"/>
            <c:spPr>
              <a:solidFill>
                <a:srgbClr val="FFFF00">
                  <a:alpha val="50000"/>
                </a:srgbClr>
              </a:solidFill>
              <a:ln>
                <a:noFill/>
              </a:ln>
              <a:effectLst/>
            </c:spPr>
            <c:extLst>
              <c:ext xmlns:c16="http://schemas.microsoft.com/office/drawing/2014/chart" uri="{C3380CC4-5D6E-409C-BE32-E72D297353CC}">
                <c16:uniqueId val="{00000009-7103-451C-A09B-5FD99BE1C8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'HR_ANALYTICS PIVOT TABLE'!$K$5:$K$11</c:f>
              <c:strCache>
                <c:ptCount val="6"/>
                <c:pt idx="0">
                  <c:v>Finance</c:v>
                </c:pt>
                <c:pt idx="1">
                  <c:v>Human Resources</c:v>
                </c:pt>
                <c:pt idx="2">
                  <c:v>Information Technology</c:v>
                </c:pt>
                <c:pt idx="3">
                  <c:v>Marketing</c:v>
                </c:pt>
                <c:pt idx="4">
                  <c:v>Operations</c:v>
                </c:pt>
                <c:pt idx="5">
                  <c:v>Sales</c:v>
                </c:pt>
              </c:strCache>
            </c:strRef>
          </c:cat>
          <c:val>
            <c:numRef>
              <c:f>'HR_ANALYTICS PIVOT TABLE'!$L$5:$L$11</c:f>
              <c:numCache>
                <c:formatCode>0</c:formatCode>
                <c:ptCount val="6"/>
                <c:pt idx="0">
                  <c:v>68.357142857142861</c:v>
                </c:pt>
                <c:pt idx="1">
                  <c:v>69.933333333333337</c:v>
                </c:pt>
                <c:pt idx="2">
                  <c:v>67.25</c:v>
                </c:pt>
                <c:pt idx="3">
                  <c:v>74.6875</c:v>
                </c:pt>
                <c:pt idx="4">
                  <c:v>69.444444444444443</c:v>
                </c:pt>
                <c:pt idx="5">
                  <c:v>60.96</c:v>
                </c:pt>
              </c:numCache>
            </c:numRef>
          </c:val>
          <c:extLst>
            <c:ext xmlns:c16="http://schemas.microsoft.com/office/drawing/2014/chart" uri="{C3380CC4-5D6E-409C-BE32-E72D297353CC}">
              <c16:uniqueId val="{0000000A-7103-451C-A09B-5FD99BE1C8EF}"/>
            </c:ext>
          </c:extLst>
        </c:ser>
        <c:ser>
          <c:idx val="1"/>
          <c:order val="1"/>
          <c:tx>
            <c:strRef>
              <c:f>'HR_ANALYTICS PIVOT TABLE'!$M$3:$M$4</c:f>
              <c:strCache>
                <c:ptCount val="1"/>
                <c:pt idx="0">
                  <c:v>Left</c:v>
                </c:pt>
              </c:strCache>
            </c:strRef>
          </c:tx>
          <c:spPr>
            <a:solidFill>
              <a:srgbClr val="B40FC1"/>
            </a:solidFill>
            <a:ln>
              <a:noFill/>
            </a:ln>
            <a:effectLst/>
          </c:spPr>
          <c:invertIfNegative val="0"/>
          <c:dPt>
            <c:idx val="1"/>
            <c:invertIfNegative val="0"/>
            <c:bubble3D val="0"/>
            <c:spPr>
              <a:solidFill>
                <a:srgbClr val="B40FC1">
                  <a:alpha val="85000"/>
                </a:srgbClr>
              </a:solidFill>
              <a:ln>
                <a:noFill/>
              </a:ln>
              <a:effectLst/>
            </c:spPr>
            <c:extLst>
              <c:ext xmlns:c16="http://schemas.microsoft.com/office/drawing/2014/chart" uri="{C3380CC4-5D6E-409C-BE32-E72D297353CC}">
                <c16:uniqueId val="{0000000C-7103-451C-A09B-5FD99BE1C8EF}"/>
              </c:ext>
            </c:extLst>
          </c:dPt>
          <c:dPt>
            <c:idx val="2"/>
            <c:invertIfNegative val="0"/>
            <c:bubble3D val="0"/>
            <c:spPr>
              <a:solidFill>
                <a:srgbClr val="B40FC1">
                  <a:alpha val="60000"/>
                </a:srgbClr>
              </a:solidFill>
              <a:ln>
                <a:noFill/>
              </a:ln>
              <a:effectLst/>
            </c:spPr>
            <c:extLst>
              <c:ext xmlns:c16="http://schemas.microsoft.com/office/drawing/2014/chart" uri="{C3380CC4-5D6E-409C-BE32-E72D297353CC}">
                <c16:uniqueId val="{0000000E-7103-451C-A09B-5FD99BE1C8EF}"/>
              </c:ext>
            </c:extLst>
          </c:dPt>
          <c:dPt>
            <c:idx val="3"/>
            <c:invertIfNegative val="0"/>
            <c:bubble3D val="0"/>
            <c:spPr>
              <a:solidFill>
                <a:srgbClr val="B40FC1">
                  <a:alpha val="70000"/>
                </a:srgbClr>
              </a:solidFill>
              <a:ln>
                <a:noFill/>
              </a:ln>
              <a:effectLst/>
            </c:spPr>
            <c:extLst>
              <c:ext xmlns:c16="http://schemas.microsoft.com/office/drawing/2014/chart" uri="{C3380CC4-5D6E-409C-BE32-E72D297353CC}">
                <c16:uniqueId val="{00000010-7103-451C-A09B-5FD99BE1C8EF}"/>
              </c:ext>
            </c:extLst>
          </c:dPt>
          <c:dPt>
            <c:idx val="4"/>
            <c:invertIfNegative val="0"/>
            <c:bubble3D val="0"/>
            <c:spPr>
              <a:solidFill>
                <a:srgbClr val="B40FC1">
                  <a:alpha val="80000"/>
                </a:srgbClr>
              </a:solidFill>
              <a:ln>
                <a:noFill/>
              </a:ln>
              <a:effectLst/>
            </c:spPr>
            <c:extLst>
              <c:ext xmlns:c16="http://schemas.microsoft.com/office/drawing/2014/chart" uri="{C3380CC4-5D6E-409C-BE32-E72D297353CC}">
                <c16:uniqueId val="{00000012-7103-451C-A09B-5FD99BE1C8EF}"/>
              </c:ext>
            </c:extLst>
          </c:dPt>
          <c:dPt>
            <c:idx val="5"/>
            <c:invertIfNegative val="0"/>
            <c:bubble3D val="0"/>
            <c:spPr>
              <a:solidFill>
                <a:srgbClr val="B40FC1">
                  <a:alpha val="90000"/>
                </a:srgbClr>
              </a:solidFill>
              <a:ln>
                <a:noFill/>
              </a:ln>
              <a:effectLst/>
            </c:spPr>
            <c:extLst>
              <c:ext xmlns:c16="http://schemas.microsoft.com/office/drawing/2014/chart" uri="{C3380CC4-5D6E-409C-BE32-E72D297353CC}">
                <c16:uniqueId val="{00000014-7103-451C-A09B-5FD99BE1C8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'HR_ANALYTICS PIVOT TABLE'!$K$5:$K$11</c:f>
              <c:strCache>
                <c:ptCount val="6"/>
                <c:pt idx="0">
                  <c:v>Finance</c:v>
                </c:pt>
                <c:pt idx="1">
                  <c:v>Human Resources</c:v>
                </c:pt>
                <c:pt idx="2">
                  <c:v>Information Technology</c:v>
                </c:pt>
                <c:pt idx="3">
                  <c:v>Marketing</c:v>
                </c:pt>
                <c:pt idx="4">
                  <c:v>Operations</c:v>
                </c:pt>
                <c:pt idx="5">
                  <c:v>Sales</c:v>
                </c:pt>
              </c:strCache>
            </c:strRef>
          </c:cat>
          <c:val>
            <c:numRef>
              <c:f>'HR_ANALYTICS PIVOT TABLE'!$M$5:$M$11</c:f>
              <c:numCache>
                <c:formatCode>0</c:formatCode>
                <c:ptCount val="6"/>
                <c:pt idx="0">
                  <c:v>71.666666666666671</c:v>
                </c:pt>
                <c:pt idx="1">
                  <c:v>71</c:v>
                </c:pt>
                <c:pt idx="2">
                  <c:v>51.833333333333336</c:v>
                </c:pt>
                <c:pt idx="3">
                  <c:v>65.333333333333329</c:v>
                </c:pt>
                <c:pt idx="4">
                  <c:v>73.833333333333329</c:v>
                </c:pt>
                <c:pt idx="5">
                  <c:v>70.5</c:v>
                </c:pt>
              </c:numCache>
            </c:numRef>
          </c:val>
          <c:extLst>
            <c:ext xmlns:c16="http://schemas.microsoft.com/office/drawing/2014/chart" uri="{C3380CC4-5D6E-409C-BE32-E72D297353CC}">
              <c16:uniqueId val="{00000015-7103-451C-A09B-5FD99BE1C8EF}"/>
            </c:ext>
          </c:extLst>
        </c:ser>
        <c:dLbls>
          <c:dLblPos val="inEnd"/>
          <c:showLegendKey val="0"/>
          <c:showVal val="1"/>
          <c:showCatName val="0"/>
          <c:showSerName val="0"/>
          <c:showPercent val="0"/>
          <c:showBubbleSize val="0"/>
        </c:dLbls>
        <c:gapWidth val="70"/>
        <c:axId val="398452320"/>
        <c:axId val="405524288"/>
      </c:barChart>
      <c:catAx>
        <c:axId val="39845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05524288"/>
        <c:crosses val="autoZero"/>
        <c:auto val="1"/>
        <c:lblAlgn val="ctr"/>
        <c:lblOffset val="100"/>
        <c:noMultiLvlLbl val="0"/>
      </c:catAx>
      <c:valAx>
        <c:axId val="405524288"/>
        <c:scaling>
          <c:orientation val="minMax"/>
        </c:scaling>
        <c:delete val="0"/>
        <c:axPos val="b"/>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452320"/>
        <c:crosses val="autoZero"/>
        <c:crossBetween val="between"/>
      </c:valAx>
      <c:spPr>
        <a:noFill/>
        <a:ln>
          <a:noFill/>
        </a:ln>
        <a:effectLst/>
      </c:spPr>
    </c:plotArea>
    <c:legend>
      <c:legendPos val="r"/>
      <c:layout>
        <c:manualLayout>
          <c:xMode val="edge"/>
          <c:yMode val="edge"/>
          <c:x val="0.7470545395903333"/>
          <c:y val="0.85069371536891225"/>
          <c:w val="0.134473622734331"/>
          <c:h val="0.1493065165543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66FF">
        <a:alpha val="10196"/>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[HR_Capstone_Completed_RAHMON TAIWO OLOLADE.xlsx]HR_ANALYTICS PIVOT TABLE!PivotTable6</c:name>
    <c:fmtId val="1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Bonus</a:t>
            </a:r>
            <a:r>
              <a:rPr lang="en-US" b="1" baseline="0">
                <a:solidFill>
                  <a:schemeClr val="tx1"/>
                </a:solidFill>
              </a:rPr>
              <a:t> Payout by Performance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pivotFmt>
      <c:pivotFmt>
        <c:idx val="4"/>
        <c:spPr>
          <a:solidFill>
            <a:srgbClr val="FFFF66"/>
          </a:solidFill>
          <a:ln>
            <a:noFill/>
          </a:ln>
          <a:effectLst/>
        </c:spPr>
      </c:pivotFmt>
      <c:pivotFmt>
        <c:idx val="5"/>
        <c:spPr>
          <a:solidFill>
            <a:srgbClr val="9900CC"/>
          </a:solidFill>
          <a:ln>
            <a:noFill/>
          </a:ln>
          <a:effectLst/>
        </c:spPr>
      </c:pivotFmt>
      <c:pivotFmt>
        <c:idx val="6"/>
        <c:spPr>
          <a:solidFill>
            <a:srgbClr val="FFFF0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pivotFmt>
      <c:pivotFmt>
        <c:idx val="9"/>
        <c:spPr>
          <a:solidFill>
            <a:srgbClr val="9900CC"/>
          </a:solidFill>
          <a:ln>
            <a:noFill/>
          </a:ln>
          <a:effectLst/>
        </c:spPr>
      </c:pivotFmt>
      <c:pivotFmt>
        <c:idx val="10"/>
        <c:spPr>
          <a:solidFill>
            <a:srgbClr val="FFFF00"/>
          </a:solidFill>
          <a:ln>
            <a:noFill/>
          </a:ln>
          <a:effectLst/>
        </c:spPr>
      </c:pivotFmt>
      <c:pivotFmt>
        <c:idx val="11"/>
        <c:spPr>
          <a:solidFill>
            <a:srgbClr val="FFFF66"/>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c:spPr>
      </c:pivotFmt>
      <c:pivotFmt>
        <c:idx val="14"/>
        <c:spPr>
          <a:solidFill>
            <a:srgbClr val="9900CC"/>
          </a:solidFill>
          <a:ln>
            <a:noFill/>
          </a:ln>
          <a:effectLst/>
        </c:spPr>
      </c:pivotFmt>
      <c:pivotFmt>
        <c:idx val="15"/>
        <c:spPr>
          <a:solidFill>
            <a:srgbClr val="FFFF00"/>
          </a:solidFill>
          <a:ln>
            <a:noFill/>
          </a:ln>
          <a:effectLst/>
        </c:spPr>
      </c:pivotFmt>
      <c:pivotFmt>
        <c:idx val="16"/>
        <c:spPr>
          <a:solidFill>
            <a:srgbClr val="FFFF66"/>
          </a:solidFill>
          <a:ln>
            <a:noFill/>
          </a:ln>
          <a:effectLst/>
        </c:spPr>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'HR_ANALYTICS PIVOT TABLE'!$B$16</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77B3-4478-B0E3-B0323D1E0065}"/>
              </c:ext>
            </c:extLst>
          </c:dPt>
          <c:dPt>
            <c:idx val="1"/>
            <c:invertIfNegative val="0"/>
            <c:bubble3D val="0"/>
            <c:spPr>
              <a:solidFill>
                <a:srgbClr val="9900CC"/>
              </a:solidFill>
              <a:ln>
                <a:noFill/>
              </a:ln>
              <a:effectLst/>
            </c:spPr>
            <c:extLst>
              <c:ext xmlns:c16="http://schemas.microsoft.com/office/drawing/2014/chart" uri="{C3380CC4-5D6E-409C-BE32-E72D297353CC}">
                <c16:uniqueId val="{00000003-77B3-4478-B0E3-B0323D1E0065}"/>
              </c:ext>
            </c:extLst>
          </c:dPt>
          <c:dPt>
            <c:idx val="2"/>
            <c:invertIfNegative val="0"/>
            <c:bubble3D val="0"/>
            <c:spPr>
              <a:solidFill>
                <a:srgbClr val="FFFF00"/>
              </a:solidFill>
              <a:ln>
                <a:noFill/>
              </a:ln>
              <a:effectLst/>
            </c:spPr>
            <c:extLst>
              <c:ext xmlns:c16="http://schemas.microsoft.com/office/drawing/2014/chart" uri="{C3380CC4-5D6E-409C-BE32-E72D297353CC}">
                <c16:uniqueId val="{00000005-77B3-4478-B0E3-B0323D1E0065}"/>
              </c:ext>
            </c:extLst>
          </c:dPt>
          <c:dPt>
            <c:idx val="3"/>
            <c:invertIfNegative val="0"/>
            <c:bubble3D val="0"/>
            <c:spPr>
              <a:solidFill>
                <a:srgbClr val="FFFF66"/>
              </a:solidFill>
              <a:ln>
                <a:noFill/>
              </a:ln>
              <a:effectLst/>
            </c:spPr>
            <c:extLst>
              <c:ext xmlns:c16="http://schemas.microsoft.com/office/drawing/2014/chart" uri="{C3380CC4-5D6E-409C-BE32-E72D297353CC}">
                <c16:uniqueId val="{00000007-77B3-4478-B0E3-B0323D1E006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'HR_ANALYTICS PIVOT TABLE'!$A$17:$A$21</c:f>
              <c:strCache>
                <c:ptCount val="5"/>
                <c:pt idx="0">
                  <c:v>Achieving</c:v>
                </c:pt>
                <c:pt idx="1">
                  <c:v>Exceeding</c:v>
                </c:pt>
                <c:pt idx="2">
                  <c:v>Outstanding</c:v>
                </c:pt>
                <c:pt idx="3">
                  <c:v>Developing</c:v>
                </c:pt>
                <c:pt idx="4">
                  <c:v>Needs Improvement</c:v>
                </c:pt>
              </c:strCache>
            </c:strRef>
          </c:cat>
          <c:val>
            <c:numRef>
              <c:f>'HR_ANALYTICS PIVOT TABLE'!$B$17:$B$21</c:f>
              <c:numCache>
                <c:formatCode>General</c:formatCode>
                <c:ptCount val="5"/>
                <c:pt idx="0">
                  <c:v>2.0500000000000007</c:v>
                </c:pt>
                <c:pt idx="1">
                  <c:v>1.7600000000000005</c:v>
                </c:pt>
                <c:pt idx="2">
                  <c:v>1.2000000000000002</c:v>
                </c:pt>
                <c:pt idx="3">
                  <c:v>0.98000000000000054</c:v>
                </c:pt>
                <c:pt idx="4">
                  <c:v>0</c:v>
                </c:pt>
              </c:numCache>
            </c:numRef>
          </c:val>
          <c:extLst>
            <c:ext xmlns:c16="http://schemas.microsoft.com/office/drawing/2014/chart" uri="{C3380CC4-5D6E-409C-BE32-E72D297353CC}">
              <c16:uniqueId val="{00000008-77B3-4478-B0E3-B0323D1E0065}"/>
            </c:ext>
          </c:extLst>
        </c:ser>
        <c:dLbls>
          <c:dLblPos val="outEnd"/>
          <c:showLegendKey val="0"/>
          <c:showVal val="1"/>
          <c:showCatName val="0"/>
          <c:showSerName val="0"/>
          <c:showPercent val="0"/>
          <c:showBubbleSize val="0"/>
        </c:dLbls>
        <c:gapWidth val="150"/>
        <c:axId val="410220208"/>
        <c:axId val="312217216"/>
      </c:barChart>
      <c:catAx>
        <c:axId val="41022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12217216"/>
        <c:crosses val="autoZero"/>
        <c:auto val="1"/>
        <c:lblAlgn val="ctr"/>
        <c:lblOffset val="100"/>
        <c:noMultiLvlLbl val="0"/>
      </c:catAx>
      <c:valAx>
        <c:axId val="312217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022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66FF">
        <a:alpha val="10196"/>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[HR_Capstone_Completed_RAHMON TAIWO OLOLADE.xlsx]HR_ANALYTICS PIVOT TABLE!PivotTable1</c:name>
    <c:fmtId val="8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Three most paying Departments</a:t>
            </a:r>
            <a:endParaRPr lang="en-US" b="1">
              <a:solidFill>
                <a:schemeClr val="tx1"/>
              </a:solidFill>
            </a:endParaRPr>
          </a:p>
        </c:rich>
      </c:tx>
      <c:layout>
        <c:manualLayout>
          <c:xMode val="edge"/>
          <c:yMode val="edge"/>
          <c:x val="0.13819841522224827"/>
          <c:y val="3.736797995663940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7030A0"/>
          </a:solidFill>
          <a:ln w="19050">
            <a:solidFill>
              <a:schemeClr val="lt1"/>
            </a:solidFill>
          </a:ln>
          <a:effectLst/>
        </c:spPr>
        <c:marker>
          <c:symbol val="none"/>
        </c:marker>
        <c:dLbl>
          <c:idx val="0"/>
          <c:spPr>
            <a:noFill/>
            <a:ln>
              <a:noFill/>
            </a:ln>
            <a:effectLst/>
          </c:spPr>
          <c:txPr>
            <a:bodyPr rot="2940000" spcFirstLastPara="1" vertOverflow="ellipsis" wrap="square" lIns="38100" tIns="19050" rIns="38100" bIns="19050" anchor="t"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pivotFmt>
      <c:pivotFmt>
        <c:idx val="7"/>
        <c:spPr>
          <a:solidFill>
            <a:srgbClr val="FFFF00">
              <a:alpha val="72000"/>
            </a:srgbClr>
          </a:solidFill>
          <a:ln w="19050">
            <a:solidFill>
              <a:schemeClr val="lt1"/>
            </a:solidFill>
          </a:ln>
          <a:effectLst/>
        </c:spPr>
      </c:pivotFmt>
      <c:pivotFmt>
        <c:idx val="8"/>
        <c:spPr>
          <a:solidFill>
            <a:srgbClr val="7030A0"/>
          </a:solidFill>
          <a:ln w="19050">
            <a:solidFill>
              <a:schemeClr val="lt1"/>
            </a:solidFill>
          </a:ln>
          <a:effectLst/>
        </c:spPr>
      </c:pivotFmt>
    </c:pivotFmts>
    <c:plotArea>
      <c:layout>
        <c:manualLayout>
          <c:layoutTarget val="inner"/>
          <c:xMode val="edge"/>
          <c:yMode val="edge"/>
          <c:x val="8.9538298636255759E-2"/>
          <c:y val="0.19867957078115495"/>
          <c:w val="0.54589227576722021"/>
          <c:h val="0.69784189451751466"/>
        </c:manualLayout>
      </c:layout>
      <c:doughnutChart>
        <c:varyColors val="1"/>
        <c:ser>
          <c:idx val="0"/>
          <c:order val="0"/>
          <c:tx>
            <c:strRef>
              <c:f>'HR_ANALYTICS PIVOT TABLE'!$H$17</c:f>
              <c:strCache>
                <c:ptCount val="1"/>
                <c:pt idx="0">
                  <c:v>Total</c:v>
                </c:pt>
              </c:strCache>
            </c:strRef>
          </c:tx>
          <c:spPr>
            <a:solidFill>
              <a:srgbClr val="7030A0"/>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1-B7A8-4EA8-B451-0E55C4AE1DBD}"/>
              </c:ext>
            </c:extLst>
          </c:dPt>
          <c:dPt>
            <c:idx val="1"/>
            <c:bubble3D val="0"/>
            <c:spPr>
              <a:solidFill>
                <a:srgbClr val="FFFF00">
                  <a:alpha val="72000"/>
                </a:srgbClr>
              </a:solidFill>
              <a:ln w="19050">
                <a:solidFill>
                  <a:schemeClr val="lt1"/>
                </a:solidFill>
              </a:ln>
              <a:effectLst/>
            </c:spPr>
            <c:extLst>
              <c:ext xmlns:c16="http://schemas.microsoft.com/office/drawing/2014/chart" uri="{C3380CC4-5D6E-409C-BE32-E72D297353CC}">
                <c16:uniqueId val="{00000003-B7A8-4EA8-B451-0E55C4AE1DBD}"/>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B7A8-4EA8-B451-0E55C4AE1DBD}"/>
              </c:ext>
            </c:extLst>
          </c:dPt>
          <c:dLbls>
            <c:spPr>
              <a:noFill/>
              <a:ln>
                <a:noFill/>
              </a:ln>
              <a:effectLst/>
            </c:spPr>
            <c:txPr>
              <a:bodyPr rot="2940000" spcFirstLastPara="1" vertOverflow="ellipsis" wrap="square" lIns="38100" tIns="19050" rIns="38100" bIns="19050" anchor="t"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'HR_ANALYTICS PIVOT TABLE'!$G$18:$G$20</c:f>
              <c:strCache>
                <c:ptCount val="3"/>
                <c:pt idx="0">
                  <c:v>Finance</c:v>
                </c:pt>
                <c:pt idx="1">
                  <c:v>Human Resources</c:v>
                </c:pt>
                <c:pt idx="2">
                  <c:v>Sales</c:v>
                </c:pt>
              </c:strCache>
            </c:strRef>
          </c:cat>
          <c:val>
            <c:numRef>
              <c:f>'HR_ANALYTICS PIVOT TABLE'!$H$18:$H$20</c:f>
              <c:numCache>
                <c:formatCode>"$"#,\K</c:formatCode>
                <c:ptCount val="3"/>
                <c:pt idx="0">
                  <c:v>87147.117647058825</c:v>
                </c:pt>
                <c:pt idx="1">
                  <c:v>85459.666666666672</c:v>
                </c:pt>
                <c:pt idx="2">
                  <c:v>86209.741935483864</c:v>
                </c:pt>
              </c:numCache>
            </c:numRef>
          </c:val>
          <c:extLst>
            <c:ext xmlns:c16="http://schemas.microsoft.com/office/drawing/2014/chart" uri="{C3380CC4-5D6E-409C-BE32-E72D297353CC}">
              <c16:uniqueId val="{00000006-B7A8-4EA8-B451-0E55C4AE1DB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[HR_Capstone_Completed_RAHMON TAIWO OLOLADE.xlsx]HR_ANALYTICS PIVOT TABLE!PivotTable3</c:name>
    <c:fmtId val="7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Headcount</a:t>
            </a:r>
            <a:r>
              <a:rPr lang="en-US" b="1" baseline="0">
                <a:solidFill>
                  <a:schemeClr val="tx1"/>
                </a:solidFill>
              </a:rPr>
              <a:t> by Average Salary and Deparments</a:t>
            </a:r>
            <a:endParaRPr lang="en-US" b="1">
              <a:solidFill>
                <a:schemeClr val="tx1"/>
              </a:solidFill>
            </a:endParaRPr>
          </a:p>
        </c:rich>
      </c:tx>
      <c:layout>
        <c:manualLayout>
          <c:xMode val="edge"/>
          <c:yMode val="edge"/>
          <c:x val="0.16082351556035709"/>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'HR_ANALYTICS PIVOT TABLE'!$B$3</c:f>
              <c:strCache>
                <c:ptCount val="1"/>
                <c:pt idx="0">
                  <c:v>Average of Salary</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'HR_ANALYTICS PIVOT TABLE'!$A$4:$A$10</c:f>
              <c:strCache>
                <c:ptCount val="6"/>
                <c:pt idx="0">
                  <c:v>Finance</c:v>
                </c:pt>
                <c:pt idx="1">
                  <c:v>Human Resources</c:v>
                </c:pt>
                <c:pt idx="2">
                  <c:v>Marketing</c:v>
                </c:pt>
                <c:pt idx="3">
                  <c:v>Operations</c:v>
                </c:pt>
                <c:pt idx="4">
                  <c:v>Sales</c:v>
                </c:pt>
                <c:pt idx="5">
                  <c:v>Information Technology</c:v>
                </c:pt>
              </c:strCache>
            </c:strRef>
          </c:cat>
          <c:val>
            <c:numRef>
              <c:f>'HR_ANALYTICS PIVOT TABLE'!$B$4:$B$10</c:f>
              <c:numCache>
                <c:formatCode>"$"#,\K</c:formatCode>
                <c:ptCount val="6"/>
                <c:pt idx="0">
                  <c:v>87147.117647058825</c:v>
                </c:pt>
                <c:pt idx="1">
                  <c:v>85459.666666666672</c:v>
                </c:pt>
                <c:pt idx="2">
                  <c:v>85406.789473684214</c:v>
                </c:pt>
                <c:pt idx="3">
                  <c:v>80008.413793103449</c:v>
                </c:pt>
                <c:pt idx="4">
                  <c:v>86209.741935483864</c:v>
                </c:pt>
                <c:pt idx="5">
                  <c:v>80511.722222222219</c:v>
                </c:pt>
              </c:numCache>
            </c:numRef>
          </c:val>
          <c:extLst>
            <c:ext xmlns:c16="http://schemas.microsoft.com/office/drawing/2014/chart" uri="{C3380CC4-5D6E-409C-BE32-E72D297353CC}">
              <c16:uniqueId val="{00000000-3759-4027-A9CD-CB780F9B1018}"/>
            </c:ext>
          </c:extLst>
        </c:ser>
        <c:dLbls>
          <c:dLblPos val="inBase"/>
          <c:showLegendKey val="0"/>
          <c:showVal val="1"/>
          <c:showCatName val="0"/>
          <c:showSerName val="0"/>
          <c:showPercent val="0"/>
          <c:showBubbleSize val="0"/>
        </c:dLbls>
        <c:gapWidth val="219"/>
        <c:overlap val="29"/>
        <c:axId val="383199200"/>
        <c:axId val="405514688"/>
      </c:barChart>
      <c:lineChart>
        <c:grouping val="stacked"/>
        <c:varyColors val="0"/>
        <c:ser>
          <c:idx val="1"/>
          <c:order val="1"/>
          <c:tx>
            <c:strRef>
              <c:f>'HR_ANALYTICS PIVOT TABLE'!$C$3</c:f>
              <c:strCache>
                <c:ptCount val="1"/>
                <c:pt idx="0">
                  <c:v>Count of Emp ID</c:v>
                </c:pt>
              </c:strCache>
            </c:strRef>
          </c:tx>
          <c:spPr>
            <a:ln w="28575" cap="rnd">
              <a:solidFill>
                <a:srgbClr val="FFFF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'HR_ANALYTICS PIVOT TABLE'!$A$4:$A$10</c:f>
              <c:strCache>
                <c:ptCount val="6"/>
                <c:pt idx="0">
                  <c:v>Finance</c:v>
                </c:pt>
                <c:pt idx="1">
                  <c:v>Human Resources</c:v>
                </c:pt>
                <c:pt idx="2">
                  <c:v>Marketing</c:v>
                </c:pt>
                <c:pt idx="3">
                  <c:v>Operations</c:v>
                </c:pt>
                <c:pt idx="4">
                  <c:v>Sales</c:v>
                </c:pt>
                <c:pt idx="5">
                  <c:v>Information Technology</c:v>
                </c:pt>
              </c:strCache>
            </c:strRef>
          </c:cat>
          <c:val>
            <c:numRef>
              <c:f>'HR_ANALYTICS PIVOT TABLE'!$C$4:$C$10</c:f>
              <c:numCache>
                <c:formatCode>General</c:formatCode>
                <c:ptCount val="6"/>
                <c:pt idx="0">
                  <c:v>17</c:v>
                </c:pt>
                <c:pt idx="1">
                  <c:v>18</c:v>
                </c:pt>
                <c:pt idx="2">
                  <c:v>19</c:v>
                </c:pt>
                <c:pt idx="3">
                  <c:v>29</c:v>
                </c:pt>
                <c:pt idx="4">
                  <c:v>31</c:v>
                </c:pt>
                <c:pt idx="5">
                  <c:v>36</c:v>
                </c:pt>
              </c:numCache>
            </c:numRef>
          </c:val>
          <c:smooth val="0"/>
          <c:extLst>
            <c:ext xmlns:c16="http://schemas.microsoft.com/office/drawing/2014/chart" uri="{C3380CC4-5D6E-409C-BE32-E72D297353CC}">
              <c16:uniqueId val="{00000001-3759-4027-A9CD-CB780F9B1018}"/>
            </c:ext>
          </c:extLst>
        </c:ser>
        <c:dLbls>
          <c:showLegendKey val="0"/>
          <c:showVal val="1"/>
          <c:showCatName val="0"/>
          <c:showSerName val="0"/>
          <c:showPercent val="0"/>
          <c:showBubbleSize val="0"/>
        </c:dLbls>
        <c:marker val="1"/>
        <c:smooth val="0"/>
        <c:axId val="383203840"/>
        <c:axId val="405507488"/>
      </c:lineChart>
      <c:catAx>
        <c:axId val="38319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14688"/>
        <c:crosses val="autoZero"/>
        <c:auto val="1"/>
        <c:lblAlgn val="ctr"/>
        <c:lblOffset val="100"/>
        <c:noMultiLvlLbl val="0"/>
      </c:catAx>
      <c:valAx>
        <c:axId val="405514688"/>
        <c:scaling>
          <c:orientation val="minMax"/>
        </c:scaling>
        <c:delete val="0"/>
        <c:axPos val="l"/>
        <c:numFmt formatCode="&quot;$&quot;#,\K"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199200"/>
        <c:crosses val="autoZero"/>
        <c:crossBetween val="between"/>
      </c:valAx>
      <c:valAx>
        <c:axId val="405507488"/>
        <c:scaling>
          <c:orientation val="minMax"/>
        </c:scaling>
        <c:delete val="0"/>
        <c:axPos val="r"/>
        <c:numFmt formatCode="General" sourceLinked="1"/>
        <c:majorTickMark val="none"/>
        <c:minorTickMark val="none"/>
        <c:tickLblPos val="none"/>
        <c:spPr>
          <a:noFill/>
          <a:ln>
            <a:solidFill>
              <a:sysClr val="windowText" lastClr="000000">
                <a:lumMod val="25000"/>
                <a:lumOff val="75000"/>
              </a:sys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203840"/>
        <c:crosses val="max"/>
        <c:crossBetween val="between"/>
      </c:valAx>
      <c:catAx>
        <c:axId val="383203840"/>
        <c:scaling>
          <c:orientation val="minMax"/>
        </c:scaling>
        <c:delete val="1"/>
        <c:axPos val="b"/>
        <c:numFmt formatCode="General" sourceLinked="1"/>
        <c:majorTickMark val="out"/>
        <c:minorTickMark val="none"/>
        <c:tickLblPos val="nextTo"/>
        <c:crossAx val="4055074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[HR_Capstone_Completed_RAHMON TAIWO OLOLADE.xlsx]HR_ANALYTICS 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a:t>
            </a:r>
            <a:r>
              <a:rPr lang="en-US" b="1" baseline="0"/>
              <a:t> Performance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40F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40FC1">
              <a:alpha val="80000"/>
            </a:srgbClr>
          </a:solidFill>
          <a:ln>
            <a:noFill/>
          </a:ln>
          <a:effectLst/>
        </c:spPr>
      </c:pivotFmt>
      <c:pivotFmt>
        <c:idx val="7"/>
        <c:spPr>
          <a:solidFill>
            <a:srgbClr val="B40FC1">
              <a:alpha val="70000"/>
            </a:srgbClr>
          </a:solidFill>
          <a:ln>
            <a:noFill/>
          </a:ln>
          <a:effectLst/>
        </c:spPr>
      </c:pivotFmt>
      <c:pivotFmt>
        <c:idx val="8"/>
        <c:spPr>
          <a:solidFill>
            <a:srgbClr val="B40FC1">
              <a:alpha val="60000"/>
            </a:srgbClr>
          </a:solidFill>
          <a:ln>
            <a:noFill/>
          </a:ln>
          <a:effectLst/>
        </c:spPr>
      </c:pivotFmt>
      <c:pivotFmt>
        <c:idx val="9"/>
        <c:spPr>
          <a:solidFill>
            <a:srgbClr val="B40FC1">
              <a:alpha val="85000"/>
            </a:srgbClr>
          </a:solidFill>
          <a:ln>
            <a:noFill/>
          </a:ln>
          <a:effectLst/>
        </c:spPr>
      </c:pivotFmt>
      <c:pivotFmt>
        <c:idx val="10"/>
        <c:spPr>
          <a:solidFill>
            <a:srgbClr val="B40FC1">
              <a:alpha val="90000"/>
            </a:srgbClr>
          </a:solidFill>
          <a:ln>
            <a:noFill/>
          </a:ln>
          <a:effectLst/>
        </c:spPr>
      </c:pivotFmt>
      <c:pivotFmt>
        <c:idx val="11"/>
        <c:spPr>
          <a:solidFill>
            <a:srgbClr val="FFFF00">
              <a:alpha val="90000"/>
            </a:srgbClr>
          </a:solidFill>
          <a:ln>
            <a:noFill/>
          </a:ln>
          <a:effectLst/>
        </c:spPr>
      </c:pivotFmt>
      <c:pivotFmt>
        <c:idx val="12"/>
        <c:spPr>
          <a:solidFill>
            <a:srgbClr val="FFFF00">
              <a:alpha val="85000"/>
            </a:srgbClr>
          </a:solidFill>
          <a:ln>
            <a:noFill/>
          </a:ln>
          <a:effectLst/>
        </c:spPr>
      </c:pivotFmt>
      <c:pivotFmt>
        <c:idx val="13"/>
        <c:spPr>
          <a:solidFill>
            <a:srgbClr val="FFFF00">
              <a:alpha val="80000"/>
            </a:srgbClr>
          </a:solidFill>
          <a:ln>
            <a:noFill/>
          </a:ln>
          <a:effectLst/>
        </c:spPr>
      </c:pivotFmt>
      <c:pivotFmt>
        <c:idx val="14"/>
        <c:spPr>
          <a:solidFill>
            <a:srgbClr val="FFFF00">
              <a:alpha val="70000"/>
            </a:srgbClr>
          </a:solidFill>
          <a:ln>
            <a:noFill/>
          </a:ln>
          <a:effectLst/>
        </c:spPr>
      </c:pivotFmt>
      <c:pivotFmt>
        <c:idx val="15"/>
        <c:spPr>
          <a:solidFill>
            <a:srgbClr val="FFFF00">
              <a:alpha val="50000"/>
            </a:srgb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45247161335314"/>
          <c:y val="0.14249781277340332"/>
          <c:w val="0.56883456269938415"/>
          <c:h val="0.75010279965004378"/>
        </c:manualLayout>
      </c:layout>
      <c:barChart>
        <c:barDir val="bar"/>
        <c:grouping val="clustered"/>
        <c:varyColors val="0"/>
        <c:ser>
          <c:idx val="0"/>
          <c:order val="0"/>
          <c:tx>
            <c:strRef>
              <c:f>'HR_ANALYTICS PIVOT TABLE'!$L$3:$L$4</c:f>
              <c:strCache>
                <c:ptCount val="1"/>
                <c:pt idx="0">
                  <c:v>Active</c:v>
                </c:pt>
              </c:strCache>
            </c:strRef>
          </c:tx>
          <c:spPr>
            <a:solidFill>
              <a:srgbClr val="FFFF00"/>
            </a:solidFill>
            <a:ln>
              <a:noFill/>
            </a:ln>
            <a:effectLst/>
          </c:spPr>
          <c:invertIfNegative val="0"/>
          <c:dPt>
            <c:idx val="0"/>
            <c:invertIfNegative val="0"/>
            <c:bubble3D val="0"/>
            <c:spPr>
              <a:solidFill>
                <a:srgbClr val="FFFF00">
                  <a:alpha val="80000"/>
                </a:srgbClr>
              </a:solidFill>
              <a:ln>
                <a:noFill/>
              </a:ln>
              <a:effectLst/>
            </c:spPr>
            <c:extLst>
              <c:ext xmlns:c16="http://schemas.microsoft.com/office/drawing/2014/chart" uri="{C3380CC4-5D6E-409C-BE32-E72D297353CC}">
                <c16:uniqueId val="{00000007-0961-44FF-84AE-290C02322F7F}"/>
              </c:ext>
            </c:extLst>
          </c:dPt>
          <c:dPt>
            <c:idx val="1"/>
            <c:invertIfNegative val="0"/>
            <c:bubble3D val="0"/>
            <c:spPr>
              <a:solidFill>
                <a:srgbClr val="FFFF00">
                  <a:alpha val="90000"/>
                </a:srgbClr>
              </a:solidFill>
              <a:ln>
                <a:noFill/>
              </a:ln>
              <a:effectLst/>
            </c:spPr>
            <c:extLst>
              <c:ext xmlns:c16="http://schemas.microsoft.com/office/drawing/2014/chart" uri="{C3380CC4-5D6E-409C-BE32-E72D297353CC}">
                <c16:uniqueId val="{00000005-0961-44FF-84AE-290C02322F7F}"/>
              </c:ext>
            </c:extLst>
          </c:dPt>
          <c:dPt>
            <c:idx val="2"/>
            <c:invertIfNegative val="0"/>
            <c:bubble3D val="0"/>
            <c:spPr>
              <a:solidFill>
                <a:srgbClr val="FFFF00">
                  <a:alpha val="70000"/>
                </a:srgbClr>
              </a:solidFill>
              <a:ln>
                <a:noFill/>
              </a:ln>
              <a:effectLst/>
            </c:spPr>
            <c:extLst>
              <c:ext xmlns:c16="http://schemas.microsoft.com/office/drawing/2014/chart" uri="{C3380CC4-5D6E-409C-BE32-E72D297353CC}">
                <c16:uniqueId val="{00000008-0961-44FF-84AE-290C02322F7F}"/>
              </c:ext>
            </c:extLst>
          </c:dPt>
          <c:dPt>
            <c:idx val="4"/>
            <c:invertIfNegative val="0"/>
            <c:bubble3D val="0"/>
            <c:spPr>
              <a:solidFill>
                <a:srgbClr val="FFFF00">
                  <a:alpha val="85000"/>
                </a:srgbClr>
              </a:solidFill>
              <a:ln>
                <a:noFill/>
              </a:ln>
              <a:effectLst/>
            </c:spPr>
            <c:extLst>
              <c:ext xmlns:c16="http://schemas.microsoft.com/office/drawing/2014/chart" uri="{C3380CC4-5D6E-409C-BE32-E72D297353CC}">
                <c16:uniqueId val="{00000006-0961-44FF-84AE-290C02322F7F}"/>
              </c:ext>
            </c:extLst>
          </c:dPt>
          <c:dPt>
            <c:idx val="5"/>
            <c:invertIfNegative val="0"/>
            <c:bubble3D val="0"/>
            <c:spPr>
              <a:solidFill>
                <a:srgbClr val="FFFF00">
                  <a:alpha val="50000"/>
                </a:srgbClr>
              </a:solidFill>
              <a:ln>
                <a:noFill/>
              </a:ln>
              <a:effectLst/>
            </c:spPr>
            <c:extLst>
              <c:ext xmlns:c16="http://schemas.microsoft.com/office/drawing/2014/chart" uri="{C3380CC4-5D6E-409C-BE32-E72D297353CC}">
                <c16:uniqueId val="{00000009-0961-44FF-84AE-290C02322F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'HR_ANALYTICS PIVOT TABLE'!$K$5:$K$11</c:f>
              <c:strCache>
                <c:ptCount val="6"/>
                <c:pt idx="0">
                  <c:v>Finance</c:v>
                </c:pt>
                <c:pt idx="1">
                  <c:v>Human Resources</c:v>
                </c:pt>
                <c:pt idx="2">
                  <c:v>Information Technology</c:v>
                </c:pt>
                <c:pt idx="3">
                  <c:v>Marketing</c:v>
                </c:pt>
                <c:pt idx="4">
                  <c:v>Operations</c:v>
                </c:pt>
                <c:pt idx="5">
                  <c:v>Sales</c:v>
                </c:pt>
              </c:strCache>
            </c:strRef>
          </c:cat>
          <c:val>
            <c:numRef>
              <c:f>'HR_ANALYTICS PIVOT TABLE'!$L$5:$L$11</c:f>
              <c:numCache>
                <c:formatCode>0</c:formatCode>
                <c:ptCount val="6"/>
                <c:pt idx="0">
                  <c:v>68.357142857142861</c:v>
                </c:pt>
                <c:pt idx="1">
                  <c:v>69.933333333333337</c:v>
                </c:pt>
                <c:pt idx="2">
                  <c:v>67.25</c:v>
                </c:pt>
                <c:pt idx="3">
                  <c:v>74.6875</c:v>
                </c:pt>
                <c:pt idx="4">
                  <c:v>69.444444444444443</c:v>
                </c:pt>
                <c:pt idx="5">
                  <c:v>60.96</c:v>
                </c:pt>
              </c:numCache>
            </c:numRef>
          </c:val>
          <c:extLst>
            <c:ext xmlns:c16="http://schemas.microsoft.com/office/drawing/2014/chart" uri="{C3380CC4-5D6E-409C-BE32-E72D297353CC}">
              <c16:uniqueId val="{00000000-C3A9-482A-81EF-43DDB04C996B}"/>
            </c:ext>
          </c:extLst>
        </c:ser>
        <c:ser>
          <c:idx val="1"/>
          <c:order val="1"/>
          <c:tx>
            <c:strRef>
              <c:f>'HR_ANALYTICS PIVOT TABLE'!$M$3:$M$4</c:f>
              <c:strCache>
                <c:ptCount val="1"/>
                <c:pt idx="0">
                  <c:v>Left</c:v>
                </c:pt>
              </c:strCache>
            </c:strRef>
          </c:tx>
          <c:spPr>
            <a:solidFill>
              <a:srgbClr val="B40FC1"/>
            </a:solidFill>
            <a:ln>
              <a:noFill/>
            </a:ln>
            <a:effectLst/>
          </c:spPr>
          <c:invertIfNegative val="0"/>
          <c:dPt>
            <c:idx val="1"/>
            <c:invertIfNegative val="0"/>
            <c:bubble3D val="0"/>
            <c:spPr>
              <a:solidFill>
                <a:srgbClr val="B40FC1">
                  <a:alpha val="85000"/>
                </a:srgbClr>
              </a:solidFill>
              <a:ln>
                <a:noFill/>
              </a:ln>
              <a:effectLst/>
            </c:spPr>
            <c:extLst>
              <c:ext xmlns:c16="http://schemas.microsoft.com/office/drawing/2014/chart" uri="{C3380CC4-5D6E-409C-BE32-E72D297353CC}">
                <c16:uniqueId val="{00000003-0961-44FF-84AE-290C02322F7F}"/>
              </c:ext>
            </c:extLst>
          </c:dPt>
          <c:dPt>
            <c:idx val="2"/>
            <c:invertIfNegative val="0"/>
            <c:bubble3D val="0"/>
            <c:spPr>
              <a:solidFill>
                <a:srgbClr val="B40FC1">
                  <a:alpha val="60000"/>
                </a:srgbClr>
              </a:solidFill>
              <a:ln>
                <a:noFill/>
              </a:ln>
              <a:effectLst/>
            </c:spPr>
            <c:extLst>
              <c:ext xmlns:c16="http://schemas.microsoft.com/office/drawing/2014/chart" uri="{C3380CC4-5D6E-409C-BE32-E72D297353CC}">
                <c16:uniqueId val="{00000002-0961-44FF-84AE-290C02322F7F}"/>
              </c:ext>
            </c:extLst>
          </c:dPt>
          <c:dPt>
            <c:idx val="3"/>
            <c:invertIfNegative val="0"/>
            <c:bubble3D val="0"/>
            <c:spPr>
              <a:solidFill>
                <a:srgbClr val="B40FC1">
                  <a:alpha val="70000"/>
                </a:srgbClr>
              </a:solidFill>
              <a:ln>
                <a:noFill/>
              </a:ln>
              <a:effectLst/>
            </c:spPr>
            <c:extLst>
              <c:ext xmlns:c16="http://schemas.microsoft.com/office/drawing/2014/chart" uri="{C3380CC4-5D6E-409C-BE32-E72D297353CC}">
                <c16:uniqueId val="{00000001-0961-44FF-84AE-290C02322F7F}"/>
              </c:ext>
            </c:extLst>
          </c:dPt>
          <c:dPt>
            <c:idx val="4"/>
            <c:invertIfNegative val="0"/>
            <c:bubble3D val="0"/>
            <c:spPr>
              <a:solidFill>
                <a:srgbClr val="B40FC1">
                  <a:alpha val="80000"/>
                </a:srgbClr>
              </a:solidFill>
              <a:ln>
                <a:noFill/>
              </a:ln>
              <a:effectLst/>
            </c:spPr>
            <c:extLst>
              <c:ext xmlns:c16="http://schemas.microsoft.com/office/drawing/2014/chart" uri="{C3380CC4-5D6E-409C-BE32-E72D297353CC}">
                <c16:uniqueId val="{00000000-0961-44FF-84AE-290C02322F7F}"/>
              </c:ext>
            </c:extLst>
          </c:dPt>
          <c:dPt>
            <c:idx val="5"/>
            <c:invertIfNegative val="0"/>
            <c:bubble3D val="0"/>
            <c:spPr>
              <a:solidFill>
                <a:srgbClr val="B40FC1">
                  <a:alpha val="90000"/>
                </a:srgbClr>
              </a:solidFill>
              <a:ln>
                <a:noFill/>
              </a:ln>
              <a:effectLst/>
            </c:spPr>
            <c:extLst>
              <c:ext xmlns:c16="http://schemas.microsoft.com/office/drawing/2014/chart" uri="{C3380CC4-5D6E-409C-BE32-E72D297353CC}">
                <c16:uniqueId val="{00000004-0961-44FF-84AE-290C02322F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'HR_ANALYTICS PIVOT TABLE'!$K$5:$K$11</c:f>
              <c:strCache>
                <c:ptCount val="6"/>
                <c:pt idx="0">
                  <c:v>Finance</c:v>
                </c:pt>
                <c:pt idx="1">
                  <c:v>Human Resources</c:v>
                </c:pt>
                <c:pt idx="2">
                  <c:v>Information Technology</c:v>
                </c:pt>
                <c:pt idx="3">
                  <c:v>Marketing</c:v>
                </c:pt>
                <c:pt idx="4">
                  <c:v>Operations</c:v>
                </c:pt>
                <c:pt idx="5">
                  <c:v>Sales</c:v>
                </c:pt>
              </c:strCache>
            </c:strRef>
          </c:cat>
          <c:val>
            <c:numRef>
              <c:f>'HR_ANALYTICS PIVOT TABLE'!$M$5:$M$11</c:f>
              <c:numCache>
                <c:formatCode>0</c:formatCode>
                <c:ptCount val="6"/>
                <c:pt idx="0">
                  <c:v>71.666666666666671</c:v>
                </c:pt>
                <c:pt idx="1">
                  <c:v>71</c:v>
                </c:pt>
                <c:pt idx="2">
                  <c:v>51.833333333333336</c:v>
                </c:pt>
                <c:pt idx="3">
                  <c:v>65.333333333333329</c:v>
                </c:pt>
                <c:pt idx="4">
                  <c:v>73.833333333333329</c:v>
                </c:pt>
                <c:pt idx="5">
                  <c:v>70.5</c:v>
                </c:pt>
              </c:numCache>
            </c:numRef>
          </c:val>
          <c:extLst>
            <c:ext xmlns:c16="http://schemas.microsoft.com/office/drawing/2014/chart" uri="{C3380CC4-5D6E-409C-BE32-E72D297353CC}">
              <c16:uniqueId val="{00000001-C3A9-482A-81EF-43DDB04C996B}"/>
            </c:ext>
          </c:extLst>
        </c:ser>
        <c:dLbls>
          <c:dLblPos val="inEnd"/>
          <c:showLegendKey val="0"/>
          <c:showVal val="1"/>
          <c:showCatName val="0"/>
          <c:showSerName val="0"/>
          <c:showPercent val="0"/>
          <c:showBubbleSize val="0"/>
        </c:dLbls>
        <c:gapWidth val="70"/>
        <c:axId val="398452320"/>
        <c:axId val="405524288"/>
      </c:barChart>
      <c:catAx>
        <c:axId val="39845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24288"/>
        <c:crosses val="autoZero"/>
        <c:auto val="1"/>
        <c:lblAlgn val="ctr"/>
        <c:lblOffset val="100"/>
        <c:noMultiLvlLbl val="0"/>
      </c:catAx>
      <c:valAx>
        <c:axId val="405524288"/>
        <c:scaling>
          <c:orientation val="minMax"/>
        </c:scaling>
        <c:delete val="0"/>
        <c:axPos val="b"/>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452320"/>
        <c:crosses val="autoZero"/>
        <c:crossBetween val="between"/>
      </c:valAx>
      <c:spPr>
        <a:noFill/>
        <a:ln>
          <a:noFill/>
        </a:ln>
        <a:effectLst/>
      </c:spPr>
    </c:plotArea>
    <c:legend>
      <c:legendPos val="r"/>
      <c:layout>
        <c:manualLayout>
          <c:xMode val="edge"/>
          <c:yMode val="edge"/>
          <c:x val="0.7470545395903333"/>
          <c:y val="0.85069371536891225"/>
          <c:w val="0.133652179114882"/>
          <c:h val="0.149306115441789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[HR_Capstone_Completed_RAHMON TAIWO OLOLADE.xlsx]HR_ANALYTICS PIVOT TABLE!PivotTable6</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Bonus</a:t>
            </a:r>
            <a:r>
              <a:rPr lang="en-US" b="1" baseline="0">
                <a:solidFill>
                  <a:schemeClr val="tx1"/>
                </a:solidFill>
              </a:rPr>
              <a:t> Payout by Performance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pivotFmt>
      <c:pivotFmt>
        <c:idx val="4"/>
        <c:spPr>
          <a:solidFill>
            <a:srgbClr val="FFFF66"/>
          </a:solidFill>
          <a:ln>
            <a:noFill/>
          </a:ln>
          <a:effectLst/>
        </c:spPr>
      </c:pivotFmt>
      <c:pivotFmt>
        <c:idx val="5"/>
        <c:spPr>
          <a:solidFill>
            <a:srgbClr val="9900CC"/>
          </a:solidFill>
          <a:ln>
            <a:noFill/>
          </a:ln>
          <a:effectLst/>
        </c:spPr>
      </c:pivotFmt>
      <c:pivotFmt>
        <c:idx val="6"/>
        <c:spPr>
          <a:solidFill>
            <a:srgbClr val="FFFF00"/>
          </a:solidFill>
          <a:ln>
            <a:noFill/>
          </a:ln>
          <a:effectLst/>
        </c:spPr>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'HR_ANALYTICS PIVOT TABLE'!$B$16</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85EA-40B1-AE63-586FDFA29EC0}"/>
              </c:ext>
            </c:extLst>
          </c:dPt>
          <c:dPt>
            <c:idx val="1"/>
            <c:invertIfNegative val="0"/>
            <c:bubble3D val="0"/>
            <c:spPr>
              <a:solidFill>
                <a:srgbClr val="9900CC"/>
              </a:solidFill>
              <a:ln>
                <a:noFill/>
              </a:ln>
              <a:effectLst/>
            </c:spPr>
            <c:extLst>
              <c:ext xmlns:c16="http://schemas.microsoft.com/office/drawing/2014/chart" uri="{C3380CC4-5D6E-409C-BE32-E72D297353CC}">
                <c16:uniqueId val="{00000002-85EA-40B1-AE63-586FDFA29EC0}"/>
              </c:ext>
            </c:extLst>
          </c:dPt>
          <c:dPt>
            <c:idx val="2"/>
            <c:invertIfNegative val="0"/>
            <c:bubble3D val="0"/>
            <c:spPr>
              <a:solidFill>
                <a:srgbClr val="FFFF00"/>
              </a:solidFill>
              <a:ln>
                <a:noFill/>
              </a:ln>
              <a:effectLst/>
            </c:spPr>
            <c:extLst>
              <c:ext xmlns:c16="http://schemas.microsoft.com/office/drawing/2014/chart" uri="{C3380CC4-5D6E-409C-BE32-E72D297353CC}">
                <c16:uniqueId val="{00000003-85EA-40B1-AE63-586FDFA29EC0}"/>
              </c:ext>
            </c:extLst>
          </c:dPt>
          <c:dPt>
            <c:idx val="3"/>
            <c:invertIfNegative val="0"/>
            <c:bubble3D val="0"/>
            <c:spPr>
              <a:solidFill>
                <a:srgbClr val="FFFF66"/>
              </a:solidFill>
              <a:ln>
                <a:noFill/>
              </a:ln>
              <a:effectLst/>
            </c:spPr>
            <c:extLst>
              <c:ext xmlns:c16="http://schemas.microsoft.com/office/drawing/2014/chart" uri="{C3380CC4-5D6E-409C-BE32-E72D297353CC}">
                <c16:uniqueId val="{00000007-742F-432F-BD43-0C89F210D9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'HR_ANALYTICS PIVOT TABLE'!$A$17:$A$21</c:f>
              <c:strCache>
                <c:ptCount val="5"/>
                <c:pt idx="0">
                  <c:v>Achieving</c:v>
                </c:pt>
                <c:pt idx="1">
                  <c:v>Exceeding</c:v>
                </c:pt>
                <c:pt idx="2">
                  <c:v>Outstanding</c:v>
                </c:pt>
                <c:pt idx="3">
                  <c:v>Developing</c:v>
                </c:pt>
                <c:pt idx="4">
                  <c:v>Needs Improvement</c:v>
                </c:pt>
              </c:strCache>
            </c:strRef>
          </c:cat>
          <c:val>
            <c:numRef>
              <c:f>'HR_ANALYTICS PIVOT TABLE'!$B$17:$B$21</c:f>
              <c:numCache>
                <c:formatCode>General</c:formatCode>
                <c:ptCount val="5"/>
                <c:pt idx="0">
                  <c:v>2.0500000000000007</c:v>
                </c:pt>
                <c:pt idx="1">
                  <c:v>1.7600000000000005</c:v>
                </c:pt>
                <c:pt idx="2">
                  <c:v>1.2000000000000002</c:v>
                </c:pt>
                <c:pt idx="3">
                  <c:v>0.98000000000000054</c:v>
                </c:pt>
                <c:pt idx="4">
                  <c:v>0</c:v>
                </c:pt>
              </c:numCache>
            </c:numRef>
          </c:val>
          <c:extLst>
            <c:ext xmlns:c16="http://schemas.microsoft.com/office/drawing/2014/chart" uri="{C3380CC4-5D6E-409C-BE32-E72D297353CC}">
              <c16:uniqueId val="{00000000-85EA-40B1-AE63-586FDFA29EC0}"/>
            </c:ext>
          </c:extLst>
        </c:ser>
        <c:dLbls>
          <c:dLblPos val="outEnd"/>
          <c:showLegendKey val="0"/>
          <c:showVal val="1"/>
          <c:showCatName val="0"/>
          <c:showSerName val="0"/>
          <c:showPercent val="0"/>
          <c:showBubbleSize val="0"/>
        </c:dLbls>
        <c:gapWidth val="150"/>
        <c:axId val="410220208"/>
        <c:axId val="312217216"/>
      </c:barChart>
      <c:catAx>
        <c:axId val="41022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217216"/>
        <c:crosses val="autoZero"/>
        <c:auto val="1"/>
        <c:lblAlgn val="ctr"/>
        <c:lblOffset val="100"/>
        <c:noMultiLvlLbl val="0"/>
      </c:catAx>
      <c:valAx>
        <c:axId val="312217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2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jpe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16</xdr:col>
      <xdr:colOff>552450</xdr:colOff>
      <xdr:row>31</xdr:row>
      <xdr:rowOff>0</xdr:rowOff>
    </xdr:to>
    <xdr:sp macro="" textlink="">
      <xdr:nvSpPr>
        <xdr:cNvPr id="9" name="Rectangle: Rounded Corners 8">
          <a:extLst>
            <a:ext uri="{FF2B5EF4-FFF2-40B4-BE49-F238E27FC236}">
              <a16:creationId xmlns:a16="http://schemas.microsoft.com/office/drawing/2014/main" id="{01B4AE66-2F80-BD86-A326-BCDC41D4F58A}"/>
            </a:ext>
          </a:extLst>
        </xdr:cNvPr>
        <xdr:cNvSpPr/>
      </xdr:nvSpPr>
      <xdr:spPr>
        <a:xfrm>
          <a:off x="19050" y="19050"/>
          <a:ext cx="10287000" cy="5886450"/>
        </a:xfrm>
        <a:prstGeom prst="roundRect">
          <a:avLst>
            <a:gd name="adj" fmla="val 4207"/>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28575</xdr:colOff>
      <xdr:row>6</xdr:row>
      <xdr:rowOff>47625</xdr:rowOff>
    </xdr:from>
    <xdr:to>
      <xdr:col>3</xdr:col>
      <xdr:colOff>19050</xdr:colOff>
      <xdr:row>12</xdr:row>
      <xdr:rowOff>19050</xdr:rowOff>
    </xdr:to>
    <xdr:sp macro="" textlink="">
      <xdr:nvSpPr>
        <xdr:cNvPr id="2" name="Rectangle: Rounded Corners 1">
          <a:extLst>
            <a:ext uri="{FF2B5EF4-FFF2-40B4-BE49-F238E27FC236}">
              <a16:creationId xmlns:a16="http://schemas.microsoft.com/office/drawing/2014/main" id="{B63F7D76-0BAE-E1E9-E34E-71C81FFAFA37}"/>
            </a:ext>
          </a:extLst>
        </xdr:cNvPr>
        <xdr:cNvSpPr/>
      </xdr:nvSpPr>
      <xdr:spPr>
        <a:xfrm>
          <a:off x="28575" y="1190625"/>
          <a:ext cx="1819275" cy="1114425"/>
        </a:xfrm>
        <a:prstGeom prst="roundRect">
          <a:avLst/>
        </a:prstGeom>
        <a:solidFill>
          <a:srgbClr val="CC66FF">
            <a:alpha val="25098"/>
          </a:srgb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7030A0"/>
              </a:solidFill>
            </a:rPr>
            <a:t>Total</a:t>
          </a:r>
          <a:r>
            <a:rPr lang="en-US" sz="1200" b="1" baseline="0">
              <a:solidFill>
                <a:srgbClr val="7030A0"/>
              </a:solidFill>
            </a:rPr>
            <a:t> No of Employee</a:t>
          </a:r>
          <a:endParaRPr lang="en-US" sz="1200" b="1">
            <a:solidFill>
              <a:srgbClr val="7030A0"/>
            </a:solidFill>
          </a:endParaRPr>
        </a:p>
      </xdr:txBody>
    </xdr:sp>
    <xdr:clientData/>
  </xdr:twoCellAnchor>
  <xdr:twoCellAnchor>
    <xdr:from>
      <xdr:col>0</xdr:col>
      <xdr:colOff>0</xdr:colOff>
      <xdr:row>0</xdr:row>
      <xdr:rowOff>0</xdr:rowOff>
    </xdr:from>
    <xdr:to>
      <xdr:col>13</xdr:col>
      <xdr:colOff>0</xdr:colOff>
      <xdr:row>24</xdr:row>
      <xdr:rowOff>123825</xdr:rowOff>
    </xdr:to>
    <xdr:sp macro="" textlink="">
      <xdr:nvSpPr>
        <xdr:cNvPr id="3" name="Rectangle: Rounded Corners 2">
          <a:extLst>
            <a:ext uri="{FF2B5EF4-FFF2-40B4-BE49-F238E27FC236}">
              <a16:creationId xmlns:a16="http://schemas.microsoft.com/office/drawing/2014/main" id="{32C8D93C-28EC-5101-264E-9E1FC797A840}"/>
            </a:ext>
          </a:extLst>
        </xdr:cNvPr>
        <xdr:cNvSpPr/>
      </xdr:nvSpPr>
      <xdr:spPr>
        <a:xfrm>
          <a:off x="0" y="0"/>
          <a:ext cx="7467600" cy="4695825"/>
        </a:xfrm>
        <a:prstGeom prst="roundRect">
          <a:avLst>
            <a:gd name="adj" fmla="val 4294"/>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xdr:colOff>
      <xdr:row>0</xdr:row>
      <xdr:rowOff>0</xdr:rowOff>
    </xdr:from>
    <xdr:to>
      <xdr:col>12</xdr:col>
      <xdr:colOff>0</xdr:colOff>
      <xdr:row>38</xdr:row>
      <xdr:rowOff>28575</xdr:rowOff>
    </xdr:to>
    <xdr:sp macro="" textlink="">
      <xdr:nvSpPr>
        <xdr:cNvPr id="4" name="Rectangle: Rounded Corners 3">
          <a:extLst>
            <a:ext uri="{FF2B5EF4-FFF2-40B4-BE49-F238E27FC236}">
              <a16:creationId xmlns:a16="http://schemas.microsoft.com/office/drawing/2014/main" id="{FBA95628-D846-4708-2BB6-84A72E84B74C}"/>
            </a:ext>
          </a:extLst>
        </xdr:cNvPr>
        <xdr:cNvSpPr/>
      </xdr:nvSpPr>
      <xdr:spPr>
        <a:xfrm>
          <a:off x="9525" y="0"/>
          <a:ext cx="7305675" cy="7267575"/>
        </a:xfrm>
        <a:prstGeom prst="roundRect">
          <a:avLst>
            <a:gd name="adj" fmla="val 18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9525</xdr:rowOff>
    </xdr:from>
    <xdr:to>
      <xdr:col>12</xdr:col>
      <xdr:colOff>38100</xdr:colOff>
      <xdr:row>6</xdr:row>
      <xdr:rowOff>0</xdr:rowOff>
    </xdr:to>
    <xdr:sp macro="" textlink="">
      <xdr:nvSpPr>
        <xdr:cNvPr id="5" name="Rectangle: Rounded Corners 4">
          <a:extLst>
            <a:ext uri="{FF2B5EF4-FFF2-40B4-BE49-F238E27FC236}">
              <a16:creationId xmlns:a16="http://schemas.microsoft.com/office/drawing/2014/main" id="{5B1F403E-D551-5E67-B3B7-A369F84FE74D}"/>
            </a:ext>
          </a:extLst>
        </xdr:cNvPr>
        <xdr:cNvSpPr/>
      </xdr:nvSpPr>
      <xdr:spPr>
        <a:xfrm>
          <a:off x="0" y="9525"/>
          <a:ext cx="7353300" cy="1133475"/>
        </a:xfrm>
        <a:prstGeom prst="roundRect">
          <a:avLst>
            <a:gd name="adj" fmla="val 5714"/>
          </a:avLst>
        </a:prstGeom>
        <a:noFill/>
        <a:ln w="9525">
          <a:solidFill>
            <a:srgbClr val="7030A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solidFill>
              <a:srgbClr val="7030A0"/>
            </a:solidFill>
            <a:latin typeface="Arial Black" panose="020B0A04020102020204" pitchFamily="34" charset="0"/>
          </a:endParaRPr>
        </a:p>
      </xdr:txBody>
    </xdr:sp>
    <xdr:clientData/>
  </xdr:twoCellAnchor>
  <xdr:twoCellAnchor>
    <xdr:from>
      <xdr:col>0</xdr:col>
      <xdr:colOff>219075</xdr:colOff>
      <xdr:row>8</xdr:row>
      <xdr:rowOff>142875</xdr:rowOff>
    </xdr:from>
    <xdr:to>
      <xdr:col>2</xdr:col>
      <xdr:colOff>447675</xdr:colOff>
      <xdr:row>11</xdr:row>
      <xdr:rowOff>0</xdr:rowOff>
    </xdr:to>
    <xdr:sp macro="" textlink="'HR_ANALYTICS PIVOT TABLE'!D10">
      <xdr:nvSpPr>
        <xdr:cNvPr id="6" name="Rectangle: Rounded Corners 5">
          <a:extLst>
            <a:ext uri="{FF2B5EF4-FFF2-40B4-BE49-F238E27FC236}">
              <a16:creationId xmlns:a16="http://schemas.microsoft.com/office/drawing/2014/main" id="{A4B0CFE3-63F0-D263-E896-A4E2F862763B}"/>
            </a:ext>
          </a:extLst>
        </xdr:cNvPr>
        <xdr:cNvSpPr/>
      </xdr:nvSpPr>
      <xdr:spPr>
        <a:xfrm>
          <a:off x="219075" y="1666875"/>
          <a:ext cx="1447800" cy="428625"/>
        </a:xfrm>
        <a:prstGeom prst="roundRect">
          <a:avLst/>
        </a:prstGeom>
        <a:solidFill>
          <a:srgbClr val="7030A0">
            <a:alpha val="2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B8E48DE-10EA-4F8F-B4E2-0CB66182A32F}" type="TxLink">
            <a:rPr lang="en-US" sz="2400" b="1" i="0" u="none" strike="noStrike">
              <a:solidFill>
                <a:schemeClr val="tx1"/>
              </a:solidFill>
              <a:latin typeface="Calibri"/>
              <a:ea typeface="Calibri"/>
              <a:cs typeface="Calibri"/>
            </a:rPr>
            <a:pPr algn="ctr"/>
            <a:t>150</a:t>
          </a:fld>
          <a:endParaRPr lang="en-US" sz="2400" b="1">
            <a:solidFill>
              <a:schemeClr val="tx1"/>
            </a:solidFill>
          </a:endParaRPr>
        </a:p>
      </xdr:txBody>
    </xdr:sp>
    <xdr:clientData/>
  </xdr:twoCellAnchor>
  <xdr:twoCellAnchor>
    <xdr:from>
      <xdr:col>6</xdr:col>
      <xdr:colOff>95250</xdr:colOff>
      <xdr:row>6</xdr:row>
      <xdr:rowOff>66675</xdr:rowOff>
    </xdr:from>
    <xdr:to>
      <xdr:col>9</xdr:col>
      <xdr:colOff>85725</xdr:colOff>
      <xdr:row>12</xdr:row>
      <xdr:rowOff>38100</xdr:rowOff>
    </xdr:to>
    <xdr:sp macro="" textlink="">
      <xdr:nvSpPr>
        <xdr:cNvPr id="7" name="Rectangle: Rounded Corners 6">
          <a:extLst>
            <a:ext uri="{FF2B5EF4-FFF2-40B4-BE49-F238E27FC236}">
              <a16:creationId xmlns:a16="http://schemas.microsoft.com/office/drawing/2014/main" id="{AE37C47A-9A6F-7BA6-30FE-200E2DEE825E}"/>
            </a:ext>
          </a:extLst>
        </xdr:cNvPr>
        <xdr:cNvSpPr/>
      </xdr:nvSpPr>
      <xdr:spPr>
        <a:xfrm>
          <a:off x="3752850" y="1209675"/>
          <a:ext cx="1819275" cy="1114425"/>
        </a:xfrm>
        <a:prstGeom prst="roundRect">
          <a:avLst/>
        </a:prstGeom>
        <a:solidFill>
          <a:srgbClr val="CC66FF">
            <a:alpha val="25098"/>
          </a:srgb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rgbClr val="7030A0"/>
              </a:solidFill>
              <a:latin typeface="+mn-lt"/>
              <a:ea typeface="+mn-ea"/>
              <a:cs typeface="+mn-cs"/>
            </a:rPr>
            <a:t>Average Salary</a:t>
          </a:r>
        </a:p>
      </xdr:txBody>
    </xdr:sp>
    <xdr:clientData/>
  </xdr:twoCellAnchor>
  <xdr:twoCellAnchor>
    <xdr:from>
      <xdr:col>3</xdr:col>
      <xdr:colOff>57150</xdr:colOff>
      <xdr:row>6</xdr:row>
      <xdr:rowOff>47625</xdr:rowOff>
    </xdr:from>
    <xdr:to>
      <xdr:col>6</xdr:col>
      <xdr:colOff>47625</xdr:colOff>
      <xdr:row>12</xdr:row>
      <xdr:rowOff>19050</xdr:rowOff>
    </xdr:to>
    <xdr:sp macro="" textlink="">
      <xdr:nvSpPr>
        <xdr:cNvPr id="8" name="Rectangle: Rounded Corners 7">
          <a:extLst>
            <a:ext uri="{FF2B5EF4-FFF2-40B4-BE49-F238E27FC236}">
              <a16:creationId xmlns:a16="http://schemas.microsoft.com/office/drawing/2014/main" id="{C1A7FD6B-E0B6-6DED-4268-1133A32CD3FE}"/>
            </a:ext>
          </a:extLst>
        </xdr:cNvPr>
        <xdr:cNvSpPr/>
      </xdr:nvSpPr>
      <xdr:spPr>
        <a:xfrm>
          <a:off x="1885950" y="1190625"/>
          <a:ext cx="1819275" cy="1114425"/>
        </a:xfrm>
        <a:prstGeom prst="roundRect">
          <a:avLst/>
        </a:prstGeom>
        <a:solidFill>
          <a:srgbClr val="CC66FF">
            <a:alpha val="25098"/>
          </a:srgb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rgbClr val="7030A0"/>
              </a:solidFill>
            </a:rPr>
            <a:t>Overall Attrition Rate</a:t>
          </a:r>
          <a:endParaRPr lang="en-US" sz="1200" b="1">
            <a:solidFill>
              <a:srgbClr val="7030A0"/>
            </a:solidFill>
          </a:endParaRPr>
        </a:p>
      </xdr:txBody>
    </xdr:sp>
    <xdr:clientData/>
  </xdr:twoCellAnchor>
  <xdr:twoCellAnchor>
    <xdr:from>
      <xdr:col>3</xdr:col>
      <xdr:colOff>238125</xdr:colOff>
      <xdr:row>8</xdr:row>
      <xdr:rowOff>161925</xdr:rowOff>
    </xdr:from>
    <xdr:to>
      <xdr:col>5</xdr:col>
      <xdr:colOff>466725</xdr:colOff>
      <xdr:row>11</xdr:row>
      <xdr:rowOff>19050</xdr:rowOff>
    </xdr:to>
    <xdr:sp macro="" textlink="'HR_ANALYTICS PIVOT TABLE'!G13">
      <xdr:nvSpPr>
        <xdr:cNvPr id="12" name="Rectangle: Rounded Corners 11">
          <a:extLst>
            <a:ext uri="{FF2B5EF4-FFF2-40B4-BE49-F238E27FC236}">
              <a16:creationId xmlns:a16="http://schemas.microsoft.com/office/drawing/2014/main" id="{D2DF71AA-DCB0-F061-E477-17D510BEF2DB}"/>
            </a:ext>
          </a:extLst>
        </xdr:cNvPr>
        <xdr:cNvSpPr/>
      </xdr:nvSpPr>
      <xdr:spPr>
        <a:xfrm>
          <a:off x="2066925" y="1685925"/>
          <a:ext cx="1447800" cy="428625"/>
        </a:xfrm>
        <a:prstGeom prst="roundRect">
          <a:avLst/>
        </a:prstGeom>
        <a:solidFill>
          <a:srgbClr val="7030A0">
            <a:alpha val="2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3250EBE-4038-49D0-BC24-E031AFD8CFAD}" type="TxLink">
            <a:rPr lang="en-US" sz="2400" b="1" i="0" u="none" strike="noStrike">
              <a:solidFill>
                <a:srgbClr val="000000"/>
              </a:solidFill>
              <a:latin typeface="Calibri"/>
              <a:ea typeface="Calibri"/>
              <a:cs typeface="Calibri"/>
            </a:rPr>
            <a:pPr algn="ctr"/>
            <a:t>23%</a:t>
          </a:fld>
          <a:endParaRPr lang="en-US" sz="19900" b="1" i="0" u="none" strike="noStrike">
            <a:solidFill>
              <a:schemeClr val="tx1"/>
            </a:solidFill>
            <a:latin typeface="Calibri"/>
            <a:ea typeface="Calibri"/>
            <a:cs typeface="Calibri"/>
          </a:endParaRPr>
        </a:p>
      </xdr:txBody>
    </xdr:sp>
    <xdr:clientData/>
  </xdr:twoCellAnchor>
  <xdr:twoCellAnchor>
    <xdr:from>
      <xdr:col>6</xdr:col>
      <xdr:colOff>276225</xdr:colOff>
      <xdr:row>8</xdr:row>
      <xdr:rowOff>171450</xdr:rowOff>
    </xdr:from>
    <xdr:to>
      <xdr:col>8</xdr:col>
      <xdr:colOff>504825</xdr:colOff>
      <xdr:row>11</xdr:row>
      <xdr:rowOff>28575</xdr:rowOff>
    </xdr:to>
    <xdr:sp macro="" textlink="'HR_ANALYTICS PIVOT TABLE'!B11">
      <xdr:nvSpPr>
        <xdr:cNvPr id="13" name="Rectangle: Rounded Corners 12">
          <a:extLst>
            <a:ext uri="{FF2B5EF4-FFF2-40B4-BE49-F238E27FC236}">
              <a16:creationId xmlns:a16="http://schemas.microsoft.com/office/drawing/2014/main" id="{2C1E34B3-80CD-8A0F-88EA-933555A6508A}"/>
            </a:ext>
          </a:extLst>
        </xdr:cNvPr>
        <xdr:cNvSpPr/>
      </xdr:nvSpPr>
      <xdr:spPr>
        <a:xfrm>
          <a:off x="3933825" y="1695450"/>
          <a:ext cx="1447800" cy="428625"/>
        </a:xfrm>
        <a:prstGeom prst="roundRect">
          <a:avLst/>
        </a:prstGeom>
        <a:solidFill>
          <a:srgbClr val="7030A0">
            <a:alpha val="2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159BEA2-C343-46F7-A201-F747E16F849E}" type="TxLink">
            <a:rPr lang="en-US" sz="2400" b="1" i="0" u="none" strike="noStrike">
              <a:solidFill>
                <a:srgbClr val="000000"/>
              </a:solidFill>
              <a:latin typeface="Calibri"/>
              <a:ea typeface="Calibri"/>
              <a:cs typeface="Calibri"/>
            </a:rPr>
            <a:pPr marL="0" indent="0" algn="ctr"/>
            <a:t>$84K</a:t>
          </a:fld>
          <a:endParaRPr lang="en-US" sz="2400" b="1" i="0" u="none" strike="noStrike">
            <a:solidFill>
              <a:srgbClr val="000000"/>
            </a:solidFill>
            <a:latin typeface="Calibri"/>
            <a:ea typeface="Calibri"/>
            <a:cs typeface="Calibri"/>
          </a:endParaRPr>
        </a:p>
      </xdr:txBody>
    </xdr:sp>
    <xdr:clientData/>
  </xdr:twoCellAnchor>
  <xdr:twoCellAnchor>
    <xdr:from>
      <xdr:col>0</xdr:col>
      <xdr:colOff>19050</xdr:colOff>
      <xdr:row>12</xdr:row>
      <xdr:rowOff>47625</xdr:rowOff>
    </xdr:from>
    <xdr:to>
      <xdr:col>12</xdr:col>
      <xdr:colOff>38100</xdr:colOff>
      <xdr:row>35</xdr:row>
      <xdr:rowOff>11906</xdr:rowOff>
    </xdr:to>
    <xdr:sp macro="" textlink="">
      <xdr:nvSpPr>
        <xdr:cNvPr id="14" name="Rectangle: Rounded Corners 13">
          <a:extLst>
            <a:ext uri="{FF2B5EF4-FFF2-40B4-BE49-F238E27FC236}">
              <a16:creationId xmlns:a16="http://schemas.microsoft.com/office/drawing/2014/main" id="{69034925-F89A-C449-3FC5-00A44EABE282}"/>
            </a:ext>
          </a:extLst>
        </xdr:cNvPr>
        <xdr:cNvSpPr/>
      </xdr:nvSpPr>
      <xdr:spPr>
        <a:xfrm>
          <a:off x="19050" y="2333625"/>
          <a:ext cx="7305675" cy="4345781"/>
        </a:xfrm>
        <a:prstGeom prst="roundRect">
          <a:avLst>
            <a:gd name="adj" fmla="val 1763"/>
          </a:avLst>
        </a:prstGeom>
        <a:noFill/>
        <a:ln>
          <a:solidFill>
            <a:srgbClr val="7030A0">
              <a:alpha val="50196"/>
            </a:srgb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104775</xdr:colOff>
      <xdr:row>6</xdr:row>
      <xdr:rowOff>57150</xdr:rowOff>
    </xdr:from>
    <xdr:to>
      <xdr:col>12</xdr:col>
      <xdr:colOff>95250</xdr:colOff>
      <xdr:row>12</xdr:row>
      <xdr:rowOff>28575</xdr:rowOff>
    </xdr:to>
    <xdr:sp macro="" textlink="">
      <xdr:nvSpPr>
        <xdr:cNvPr id="16" name="Rectangle: Rounded Corners 15">
          <a:extLst>
            <a:ext uri="{FF2B5EF4-FFF2-40B4-BE49-F238E27FC236}">
              <a16:creationId xmlns:a16="http://schemas.microsoft.com/office/drawing/2014/main" id="{C1620A07-CBD2-4EEA-34D5-0C95F0C4C9B2}"/>
            </a:ext>
          </a:extLst>
        </xdr:cNvPr>
        <xdr:cNvSpPr/>
      </xdr:nvSpPr>
      <xdr:spPr>
        <a:xfrm>
          <a:off x="5591175" y="1200150"/>
          <a:ext cx="1819275" cy="1114425"/>
        </a:xfrm>
        <a:prstGeom prst="roundRect">
          <a:avLst/>
        </a:prstGeom>
        <a:solidFill>
          <a:srgbClr val="CC66FF">
            <a:alpha val="25098"/>
          </a:srgb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baseline="0">
              <a:solidFill>
                <a:srgbClr val="7030A0"/>
              </a:solidFill>
              <a:latin typeface="+mn-lt"/>
              <a:ea typeface="+mn-ea"/>
              <a:cs typeface="+mn-cs"/>
            </a:rPr>
            <a:t>No of Active Employee</a:t>
          </a:r>
          <a:endParaRPr lang="en-US" sz="1200" b="1">
            <a:solidFill>
              <a:srgbClr val="7030A0"/>
            </a:solidFill>
            <a:latin typeface="+mn-lt"/>
            <a:ea typeface="+mn-ea"/>
            <a:cs typeface="+mn-cs"/>
          </a:endParaRPr>
        </a:p>
      </xdr:txBody>
    </xdr:sp>
    <xdr:clientData/>
  </xdr:twoCellAnchor>
  <xdr:twoCellAnchor>
    <xdr:from>
      <xdr:col>9</xdr:col>
      <xdr:colOff>295275</xdr:colOff>
      <xdr:row>9</xdr:row>
      <xdr:rowOff>0</xdr:rowOff>
    </xdr:from>
    <xdr:to>
      <xdr:col>11</xdr:col>
      <xdr:colOff>523875</xdr:colOff>
      <xdr:row>11</xdr:row>
      <xdr:rowOff>47625</xdr:rowOff>
    </xdr:to>
    <xdr:sp macro="" textlink="'HR_ANALYTICS PIVOT TABLE'!L18">
      <xdr:nvSpPr>
        <xdr:cNvPr id="17" name="Rectangle: Rounded Corners 16">
          <a:extLst>
            <a:ext uri="{FF2B5EF4-FFF2-40B4-BE49-F238E27FC236}">
              <a16:creationId xmlns:a16="http://schemas.microsoft.com/office/drawing/2014/main" id="{17CD4AE8-A4D6-5893-5BED-8F5AF08C84EA}"/>
            </a:ext>
          </a:extLst>
        </xdr:cNvPr>
        <xdr:cNvSpPr/>
      </xdr:nvSpPr>
      <xdr:spPr>
        <a:xfrm>
          <a:off x="5781675" y="1714500"/>
          <a:ext cx="1447800" cy="428625"/>
        </a:xfrm>
        <a:prstGeom prst="roundRect">
          <a:avLst/>
        </a:prstGeom>
        <a:solidFill>
          <a:srgbClr val="7030A0">
            <a:alpha val="2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6AEBC71-EE36-4145-9193-E5D1020B73C9}" type="TxLink">
            <a:rPr lang="en-US" sz="2400" b="1" i="0" u="none" strike="noStrike">
              <a:solidFill>
                <a:srgbClr val="000000"/>
              </a:solidFill>
              <a:latin typeface="Calibri"/>
              <a:ea typeface="Calibri"/>
              <a:cs typeface="Calibri"/>
            </a:rPr>
            <a:pPr marL="0" indent="0" algn="ctr"/>
            <a:t>116</a:t>
          </a:fld>
          <a:endParaRPr lang="en-US" sz="4400" b="1" i="0" u="none" strike="noStrike">
            <a:solidFill>
              <a:srgbClr val="000000"/>
            </a:solidFill>
            <a:latin typeface="Calibri"/>
            <a:ea typeface="Calibri"/>
            <a:cs typeface="Calibri"/>
          </a:endParaRPr>
        </a:p>
      </xdr:txBody>
    </xdr:sp>
    <xdr:clientData/>
  </xdr:twoCellAnchor>
  <xdr:twoCellAnchor>
    <xdr:from>
      <xdr:col>0</xdr:col>
      <xdr:colOff>76200</xdr:colOff>
      <xdr:row>12</xdr:row>
      <xdr:rowOff>104776</xdr:rowOff>
    </xdr:from>
    <xdr:to>
      <xdr:col>6</xdr:col>
      <xdr:colOff>38100</xdr:colOff>
      <xdr:row>21</xdr:row>
      <xdr:rowOff>133350</xdr:rowOff>
    </xdr:to>
    <xdr:graphicFrame macro="">
      <xdr:nvGraphicFramePr>
        <xdr:cNvPr id="31" name="Chart 30">
          <a:extLst>
            <a:ext uri="{FF2B5EF4-FFF2-40B4-BE49-F238E27FC236}">
              <a16:creationId xmlns:a16="http://schemas.microsoft.com/office/drawing/2014/main" id="{7C13B99E-0A65-4736-94CD-D7FB8B36F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277090</xdr:colOff>
      <xdr:row>17</xdr:row>
      <xdr:rowOff>71869</xdr:rowOff>
    </xdr:from>
    <xdr:ext cx="676275" cy="374141"/>
    <xdr:sp macro="" textlink="'HR_ANALYTICS PIVOT TABLE'!H22">
      <xdr:nvSpPr>
        <xdr:cNvPr id="32" name="TextBox 31">
          <a:extLst>
            <a:ext uri="{FF2B5EF4-FFF2-40B4-BE49-F238E27FC236}">
              <a16:creationId xmlns:a16="http://schemas.microsoft.com/office/drawing/2014/main" id="{175DC2EC-5FD4-FF6F-F199-798E516B89DF}"/>
            </a:ext>
          </a:extLst>
        </xdr:cNvPr>
        <xdr:cNvSpPr txBox="1"/>
      </xdr:nvSpPr>
      <xdr:spPr>
        <a:xfrm>
          <a:off x="886690" y="3310369"/>
          <a:ext cx="6762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90CD8BCE-6CB5-4B91-9189-890E329FC98C}" type="TxLink">
            <a:rPr lang="en-US" sz="1800" b="1" i="0" u="none" strike="noStrike">
              <a:solidFill>
                <a:srgbClr val="000000"/>
              </a:solidFill>
              <a:latin typeface="Calibri"/>
              <a:ea typeface="Calibri"/>
              <a:cs typeface="Calibri"/>
            </a:rPr>
            <a:pPr algn="ctr"/>
            <a:t>$86K</a:t>
          </a:fld>
          <a:endParaRPr lang="en-US" sz="3200" b="1"/>
        </a:p>
      </xdr:txBody>
    </xdr:sp>
    <xdr:clientData/>
  </xdr:oneCellAnchor>
  <xdr:twoCellAnchor>
    <xdr:from>
      <xdr:col>6</xdr:col>
      <xdr:colOff>95250</xdr:colOff>
      <xdr:row>12</xdr:row>
      <xdr:rowOff>57151</xdr:rowOff>
    </xdr:from>
    <xdr:to>
      <xdr:col>12</xdr:col>
      <xdr:colOff>38100</xdr:colOff>
      <xdr:row>21</xdr:row>
      <xdr:rowOff>133351</xdr:rowOff>
    </xdr:to>
    <xdr:graphicFrame macro="">
      <xdr:nvGraphicFramePr>
        <xdr:cNvPr id="33" name="Chart 32">
          <a:extLst>
            <a:ext uri="{FF2B5EF4-FFF2-40B4-BE49-F238E27FC236}">
              <a16:creationId xmlns:a16="http://schemas.microsoft.com/office/drawing/2014/main" id="{14654650-D006-480D-9FF8-1E75069BF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57151</xdr:colOff>
      <xdr:row>21</xdr:row>
      <xdr:rowOff>180975</xdr:rowOff>
    </xdr:from>
    <xdr:to>
      <xdr:col>6</xdr:col>
      <xdr:colOff>38101</xdr:colOff>
      <xdr:row>35</xdr:row>
      <xdr:rowOff>7041</xdr:rowOff>
    </xdr:to>
    <xdr:graphicFrame macro="">
      <xdr:nvGraphicFramePr>
        <xdr:cNvPr id="34" name="Chart 33">
          <a:extLst>
            <a:ext uri="{FF2B5EF4-FFF2-40B4-BE49-F238E27FC236}">
              <a16:creationId xmlns:a16="http://schemas.microsoft.com/office/drawing/2014/main" id="{3CD7A4B8-F7EA-49C2-9B50-A5F0596AD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95251</xdr:colOff>
      <xdr:row>21</xdr:row>
      <xdr:rowOff>180976</xdr:rowOff>
    </xdr:from>
    <xdr:to>
      <xdr:col>12</xdr:col>
      <xdr:colOff>38101</xdr:colOff>
      <xdr:row>35</xdr:row>
      <xdr:rowOff>9525</xdr:rowOff>
    </xdr:to>
    <xdr:graphicFrame macro="">
      <xdr:nvGraphicFramePr>
        <xdr:cNvPr id="35" name="Chart 34">
          <a:extLst>
            <a:ext uri="{FF2B5EF4-FFF2-40B4-BE49-F238E27FC236}">
              <a16:creationId xmlns:a16="http://schemas.microsoft.com/office/drawing/2014/main" id="{CF5D72CA-EF79-4267-B33C-02315AEEC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9524</xdr:rowOff>
    </xdr:from>
    <xdr:to>
      <xdr:col>7</xdr:col>
      <xdr:colOff>0</xdr:colOff>
      <xdr:row>3</xdr:row>
      <xdr:rowOff>190499</xdr:rowOff>
    </xdr:to>
    <xdr:sp macro="" textlink="">
      <xdr:nvSpPr>
        <xdr:cNvPr id="11" name="Rectangle: Rounded Corners 10">
          <a:extLst>
            <a:ext uri="{FF2B5EF4-FFF2-40B4-BE49-F238E27FC236}">
              <a16:creationId xmlns:a16="http://schemas.microsoft.com/office/drawing/2014/main" id="{1DE97876-6337-5B42-DBA9-E320D89E988A}"/>
            </a:ext>
          </a:extLst>
        </xdr:cNvPr>
        <xdr:cNvSpPr/>
      </xdr:nvSpPr>
      <xdr:spPr>
        <a:xfrm>
          <a:off x="0" y="9524"/>
          <a:ext cx="4296833" cy="752475"/>
        </a:xfrm>
        <a:prstGeom prst="roundRect">
          <a:avLst>
            <a:gd name="adj" fmla="val 18732"/>
          </a:avLst>
        </a:prstGeom>
        <a:solidFill>
          <a:srgbClr val="CC99FF">
            <a:alpha val="30196"/>
          </a:srgbClr>
        </a:solidFill>
        <a:ln w="3175">
          <a:noFill/>
        </a:ln>
        <a:effectLst>
          <a:outerShdw blurRad="76200" dir="13500000" sy="23000" kx="12000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542151</xdr:colOff>
      <xdr:row>0</xdr:row>
      <xdr:rowOff>103487</xdr:rowOff>
    </xdr:from>
    <xdr:ext cx="3754682" cy="468013"/>
    <xdr:sp macro="" textlink="">
      <xdr:nvSpPr>
        <xdr:cNvPr id="15" name="TextBox 14">
          <a:extLst>
            <a:ext uri="{FF2B5EF4-FFF2-40B4-BE49-F238E27FC236}">
              <a16:creationId xmlns:a16="http://schemas.microsoft.com/office/drawing/2014/main" id="{D0EA9A2B-1868-ACDD-4E48-8CA8047C0A43}"/>
            </a:ext>
          </a:extLst>
        </xdr:cNvPr>
        <xdr:cNvSpPr txBox="1"/>
      </xdr:nvSpPr>
      <xdr:spPr>
        <a:xfrm>
          <a:off x="542151" y="103487"/>
          <a:ext cx="375468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400" b="1">
              <a:solidFill>
                <a:srgbClr val="7030A0"/>
              </a:solidFill>
            </a:rPr>
            <a:t>HR</a:t>
          </a:r>
          <a:r>
            <a:rPr lang="en-US" sz="2400" b="1" baseline="0">
              <a:solidFill>
                <a:srgbClr val="7030A0"/>
              </a:solidFill>
            </a:rPr>
            <a:t> ANALYTICS DASHBOARD</a:t>
          </a:r>
          <a:endParaRPr lang="en-US" sz="2400" b="1">
            <a:solidFill>
              <a:srgbClr val="7030A0"/>
            </a:solidFill>
          </a:endParaRPr>
        </a:p>
      </xdr:txBody>
    </xdr:sp>
    <xdr:clientData/>
  </xdr:oneCellAnchor>
  <xdr:twoCellAnchor>
    <xdr:from>
      <xdr:col>9</xdr:col>
      <xdr:colOff>381000</xdr:colOff>
      <xdr:row>0</xdr:row>
      <xdr:rowOff>171450</xdr:rowOff>
    </xdr:from>
    <xdr:to>
      <xdr:col>12</xdr:col>
      <xdr:colOff>0</xdr:colOff>
      <xdr:row>5</xdr:row>
      <xdr:rowOff>104775</xdr:rowOff>
    </xdr:to>
    <xdr:sp macro="" textlink="">
      <xdr:nvSpPr>
        <xdr:cNvPr id="19" name="Rectangle: Rounded Corners 18">
          <a:extLst>
            <a:ext uri="{FF2B5EF4-FFF2-40B4-BE49-F238E27FC236}">
              <a16:creationId xmlns:a16="http://schemas.microsoft.com/office/drawing/2014/main" id="{C0CF1F2C-0475-1774-4300-D9FB5BC9D622}"/>
            </a:ext>
          </a:extLst>
        </xdr:cNvPr>
        <xdr:cNvSpPr/>
      </xdr:nvSpPr>
      <xdr:spPr>
        <a:xfrm>
          <a:off x="5867400" y="171450"/>
          <a:ext cx="1447800" cy="885825"/>
        </a:xfrm>
        <a:prstGeom prst="roundRect">
          <a:avLst/>
        </a:prstGeom>
        <a:solidFill>
          <a:srgbClr val="7030A0">
            <a:alpha val="2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0" i="0" u="none" strike="noStrike">
            <a:solidFill>
              <a:srgbClr val="000000"/>
            </a:solidFill>
            <a:latin typeface="Calibri"/>
            <a:ea typeface="Calibri"/>
            <a:cs typeface="Calibri"/>
          </a:endParaRPr>
        </a:p>
      </xdr:txBody>
    </xdr:sp>
    <xdr:clientData/>
  </xdr:twoCellAnchor>
  <xdr:twoCellAnchor editAs="oneCell">
    <xdr:from>
      <xdr:col>9</xdr:col>
      <xdr:colOff>381000</xdr:colOff>
      <xdr:row>0</xdr:row>
      <xdr:rowOff>1</xdr:rowOff>
    </xdr:from>
    <xdr:to>
      <xdr:col>12</xdr:col>
      <xdr:colOff>38100</xdr:colOff>
      <xdr:row>5</xdr:row>
      <xdr:rowOff>85725</xdr:rowOff>
    </xdr:to>
    <mc:AlternateContent xmlns:mc="http://schemas.openxmlformats.org/markup-compatibility/2006" xmlns:a14="http://schemas.microsoft.com/office/drawing/2010/main">
      <mc:Choice Requires="a14">
        <xdr:graphicFrame macro="">
          <xdr:nvGraphicFramePr>
            <xdr:cNvPr id="21" name="Employment Status 1">
              <a:extLst>
                <a:ext uri="{FF2B5EF4-FFF2-40B4-BE49-F238E27FC236}">
                  <a16:creationId xmlns:a16="http://schemas.microsoft.com/office/drawing/2014/main" id="{4A799EF8-4DAF-4A03-BA28-85E5F5D58628}"/>
                </a:ext>
              </a:extLst>
            </xdr:cNvPr>
            <xdr:cNvGraphicFramePr/>
          </xdr:nvGraphicFramePr>
          <xdr:xfrm>
            <a:off x="0" y="0"/>
            <a:ext cx="0" cy="0"/>
          </xdr:xfrm>
          <a:graphic>
            <a:graphicData uri="http://schemas.microsoft.com/office/drawing/2010/slicer">
              <sle:slicer xmlns:sle="http://schemas.microsoft.com/office/drawing/2010/slicer" name="Employment Status 1"/>
            </a:graphicData>
          </a:graphic>
        </xdr:graphicFrame>
      </mc:Choice>
      <mc:Fallback xmlns="">
        <xdr:sp macro="" textlink="">
          <xdr:nvSpPr>
            <xdr:cNvPr id="0" name=""/>
            <xdr:cNvSpPr>
              <a:spLocks noTextEdit="1"/>
            </xdr:cNvSpPr>
          </xdr:nvSpPr>
          <xdr:spPr>
            <a:xfrm>
              <a:off x="5867400" y="1"/>
              <a:ext cx="1485900" cy="1038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0</xdr:row>
      <xdr:rowOff>0</xdr:rowOff>
    </xdr:from>
    <xdr:to>
      <xdr:col>9</xdr:col>
      <xdr:colOff>304800</xdr:colOff>
      <xdr:row>5</xdr:row>
      <xdr:rowOff>76200</xdr:rowOff>
    </xdr:to>
    <mc:AlternateContent xmlns:mc="http://schemas.openxmlformats.org/markup-compatibility/2006" xmlns:a14="http://schemas.microsoft.com/office/drawing/2010/main">
      <mc:Choice Requires="a14">
        <xdr:graphicFrame macro="">
          <xdr:nvGraphicFramePr>
            <xdr:cNvPr id="22" name="Performance Band 1">
              <a:extLst>
                <a:ext uri="{FF2B5EF4-FFF2-40B4-BE49-F238E27FC236}">
                  <a16:creationId xmlns:a16="http://schemas.microsoft.com/office/drawing/2014/main" id="{86441A51-25AC-470C-910A-12C227309875}"/>
                </a:ext>
              </a:extLst>
            </xdr:cNvPr>
            <xdr:cNvGraphicFramePr/>
          </xdr:nvGraphicFramePr>
          <xdr:xfrm>
            <a:off x="0" y="0"/>
            <a:ext cx="0" cy="0"/>
          </xdr:xfrm>
          <a:graphic>
            <a:graphicData uri="http://schemas.microsoft.com/office/drawing/2010/slicer">
              <sle:slicer xmlns:sle="http://schemas.microsoft.com/office/drawing/2010/slicer" name="Performance Band 1"/>
            </a:graphicData>
          </a:graphic>
        </xdr:graphicFrame>
      </mc:Choice>
      <mc:Fallback xmlns="">
        <xdr:sp macro="" textlink="">
          <xdr:nvSpPr>
            <xdr:cNvPr id="0" name=""/>
            <xdr:cNvSpPr>
              <a:spLocks noTextEdit="1"/>
            </xdr:cNvSpPr>
          </xdr:nvSpPr>
          <xdr:spPr>
            <a:xfrm>
              <a:off x="4267200" y="0"/>
              <a:ext cx="152400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156633</xdr:colOff>
      <xdr:row>8</xdr:row>
      <xdr:rowOff>0</xdr:rowOff>
    </xdr:from>
    <xdr:to>
      <xdr:col>0</xdr:col>
      <xdr:colOff>522393</xdr:colOff>
      <xdr:row>9</xdr:row>
      <xdr:rowOff>175260</xdr:rowOff>
    </xdr:to>
    <xdr:pic>
      <xdr:nvPicPr>
        <xdr:cNvPr id="26" name="Picture 25">
          <a:extLst>
            <a:ext uri="{FF2B5EF4-FFF2-40B4-BE49-F238E27FC236}">
              <a16:creationId xmlns:a16="http://schemas.microsoft.com/office/drawing/2014/main" id="{2BCFEB32-F71B-DC85-8DC9-94C56B830B3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6633" y="1524000"/>
          <a:ext cx="365760" cy="365760"/>
        </a:xfrm>
        <a:prstGeom prst="rect">
          <a:avLst/>
        </a:prstGeom>
      </xdr:spPr>
    </xdr:pic>
    <xdr:clientData/>
  </xdr:twoCellAnchor>
  <xdr:twoCellAnchor editAs="oneCell">
    <xdr:from>
      <xdr:col>6</xdr:col>
      <xdr:colOff>148166</xdr:colOff>
      <xdr:row>7</xdr:row>
      <xdr:rowOff>158750</xdr:rowOff>
    </xdr:from>
    <xdr:to>
      <xdr:col>7</xdr:col>
      <xdr:colOff>82973</xdr:colOff>
      <xdr:row>10</xdr:row>
      <xdr:rowOff>135890</xdr:rowOff>
    </xdr:to>
    <xdr:pic>
      <xdr:nvPicPr>
        <xdr:cNvPr id="28" name="Picture 27">
          <a:extLst>
            <a:ext uri="{FF2B5EF4-FFF2-40B4-BE49-F238E27FC236}">
              <a16:creationId xmlns:a16="http://schemas.microsoft.com/office/drawing/2014/main" id="{69BC1770-7602-987E-1CF3-69F92944A2C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31166" y="1492250"/>
          <a:ext cx="548640" cy="548640"/>
        </a:xfrm>
        <a:prstGeom prst="rect">
          <a:avLst/>
        </a:prstGeom>
      </xdr:spPr>
    </xdr:pic>
    <xdr:clientData/>
  </xdr:twoCellAnchor>
  <xdr:twoCellAnchor editAs="oneCell">
    <xdr:from>
      <xdr:col>3</xdr:col>
      <xdr:colOff>156633</xdr:colOff>
      <xdr:row>7</xdr:row>
      <xdr:rowOff>114300</xdr:rowOff>
    </xdr:from>
    <xdr:to>
      <xdr:col>4</xdr:col>
      <xdr:colOff>0</xdr:colOff>
      <xdr:row>10</xdr:row>
      <xdr:rowOff>0</xdr:rowOff>
    </xdr:to>
    <xdr:pic>
      <xdr:nvPicPr>
        <xdr:cNvPr id="30" name="Picture 29">
          <a:extLst>
            <a:ext uri="{FF2B5EF4-FFF2-40B4-BE49-F238E27FC236}">
              <a16:creationId xmlns:a16="http://schemas.microsoft.com/office/drawing/2014/main" id="{234BAA68-A029-9CDE-B759-E63D2F5D93F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98133" y="1447800"/>
          <a:ext cx="457200" cy="457200"/>
        </a:xfrm>
        <a:prstGeom prst="rect">
          <a:avLst/>
        </a:prstGeom>
      </xdr:spPr>
    </xdr:pic>
    <xdr:clientData/>
  </xdr:twoCellAnchor>
  <xdr:twoCellAnchor editAs="oneCell">
    <xdr:from>
      <xdr:col>9</xdr:col>
      <xdr:colOff>248073</xdr:colOff>
      <xdr:row>8</xdr:row>
      <xdr:rowOff>0</xdr:rowOff>
    </xdr:from>
    <xdr:to>
      <xdr:col>10</xdr:col>
      <xdr:colOff>0</xdr:colOff>
      <xdr:row>9</xdr:row>
      <xdr:rowOff>175260</xdr:rowOff>
    </xdr:to>
    <xdr:pic>
      <xdr:nvPicPr>
        <xdr:cNvPr id="37" name="Picture 36">
          <a:extLst>
            <a:ext uri="{FF2B5EF4-FFF2-40B4-BE49-F238E27FC236}">
              <a16:creationId xmlns:a16="http://schemas.microsoft.com/office/drawing/2014/main" id="{EEEDE51F-1B5E-828B-FEF8-A2AA6AF721D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772573" y="1524000"/>
          <a:ext cx="365760" cy="365760"/>
        </a:xfrm>
        <a:prstGeom prst="rect">
          <a:avLst/>
        </a:prstGeom>
      </xdr:spPr>
    </xdr:pic>
    <xdr:clientData/>
  </xdr:twoCellAnchor>
  <xdr:twoCellAnchor editAs="oneCell">
    <xdr:from>
      <xdr:col>0</xdr:col>
      <xdr:colOff>0</xdr:colOff>
      <xdr:row>0</xdr:row>
      <xdr:rowOff>0</xdr:rowOff>
    </xdr:from>
    <xdr:to>
      <xdr:col>1</xdr:col>
      <xdr:colOff>0</xdr:colOff>
      <xdr:row>3</xdr:row>
      <xdr:rowOff>75669</xdr:rowOff>
    </xdr:to>
    <xdr:pic>
      <xdr:nvPicPr>
        <xdr:cNvPr id="39" name="Picture 38">
          <a:extLst>
            <a:ext uri="{FF2B5EF4-FFF2-40B4-BE49-F238E27FC236}">
              <a16:creationId xmlns:a16="http://schemas.microsoft.com/office/drawing/2014/main" id="{0236BD85-48B3-10E2-BDBE-74A35B6FD52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613833" cy="647169"/>
        </a:xfrm>
        <a:prstGeom prst="rect">
          <a:avLst/>
        </a:prstGeom>
        <a:effectLst>
          <a:glow rad="139700">
            <a:schemeClr val="accent4">
              <a:satMod val="175000"/>
              <a:alpha val="40000"/>
            </a:schemeClr>
          </a:glow>
          <a:outerShdw blurRad="50800" dist="38100" dir="2700000" algn="tl" rotWithShape="0">
            <a:prstClr val="black">
              <a:alpha val="40000"/>
            </a:prstClr>
          </a:outerShdw>
        </a:effectLst>
      </xdr:spPr>
    </xdr:pic>
    <xdr:clientData/>
  </xdr:twoCellAnchor>
</xdr:wsDr>
</file>

<file path=xl/drawings/drawing2.xml><?xml version="1.0" encoding="utf-8"?>
<c:userShapes xmlns:c="http://schemas.openxmlformats.org/drawingml/2006/chart">
  <cdr:relSizeAnchor xmlns:cdr="http://schemas.openxmlformats.org/drawingml/2006/chartDrawing">
    <cdr:from>
      <cdr:x>0.34305</cdr:x>
      <cdr:y>0.55158</cdr:y>
    </cdr:from>
    <cdr:to>
      <cdr:x>0.71729</cdr:x>
      <cdr:y>1</cdr:y>
    </cdr:to>
    <cdr:sp macro="" textlink="">
      <cdr:nvSpPr>
        <cdr:cNvPr id="2" name="TextBox 1">
          <a:extLst xmlns:a="http://schemas.openxmlformats.org/drawingml/2006/main">
            <a:ext uri="{FF2B5EF4-FFF2-40B4-BE49-F238E27FC236}">
              <a16:creationId xmlns:a16="http://schemas.microsoft.com/office/drawing/2014/main" id="{DEABC713-A36F-04FA-741E-C4440978169A}"/>
            </a:ext>
          </a:extLst>
        </cdr:cNvPr>
        <cdr:cNvSpPr txBox="1"/>
      </cdr:nvSpPr>
      <cdr:spPr>
        <a:xfrm xmlns:a="http://schemas.openxmlformats.org/drawingml/2006/main">
          <a:off x="838200" y="13335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xdr:col>
      <xdr:colOff>976312</xdr:colOff>
      <xdr:row>24</xdr:row>
      <xdr:rowOff>152401</xdr:rowOff>
    </xdr:from>
    <xdr:to>
      <xdr:col>5</xdr:col>
      <xdr:colOff>447675</xdr:colOff>
      <xdr:row>34</xdr:row>
      <xdr:rowOff>119063</xdr:rowOff>
    </xdr:to>
    <mc:AlternateContent xmlns:mc="http://schemas.openxmlformats.org/markup-compatibility/2006" xmlns:a14="http://schemas.microsoft.com/office/drawing/2010/main">
      <mc:Choice Requires="a14">
        <xdr:graphicFrame macro="">
          <xdr:nvGraphicFramePr>
            <xdr:cNvPr id="2" name="Dept Code">
              <a:extLst>
                <a:ext uri="{FF2B5EF4-FFF2-40B4-BE49-F238E27FC236}">
                  <a16:creationId xmlns:a16="http://schemas.microsoft.com/office/drawing/2014/main" id="{4572C61E-7493-2EB4-22E3-2C3083CE0B07}"/>
                </a:ext>
              </a:extLst>
            </xdr:cNvPr>
            <xdr:cNvGraphicFramePr/>
          </xdr:nvGraphicFramePr>
          <xdr:xfrm>
            <a:off x="0" y="0"/>
            <a:ext cx="0" cy="0"/>
          </xdr:xfrm>
          <a:graphic>
            <a:graphicData uri="http://schemas.microsoft.com/office/drawing/2010/slicer">
              <sle:slicer xmlns:sle="http://schemas.microsoft.com/office/drawing/2010/slicer" name="Dept Code"/>
            </a:graphicData>
          </a:graphic>
        </xdr:graphicFrame>
      </mc:Choice>
      <mc:Fallback xmlns="">
        <xdr:sp macro="" textlink="">
          <xdr:nvSpPr>
            <xdr:cNvPr id="0" name=""/>
            <xdr:cNvSpPr>
              <a:spLocks noTextEdit="1"/>
            </xdr:cNvSpPr>
          </xdr:nvSpPr>
          <xdr:spPr>
            <a:xfrm>
              <a:off x="3286125" y="4724401"/>
              <a:ext cx="1828800" cy="1871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126207</xdr:colOff>
      <xdr:row>14</xdr:row>
      <xdr:rowOff>140493</xdr:rowOff>
    </xdr:from>
    <xdr:to>
      <xdr:col>5</xdr:col>
      <xdr:colOff>1347788</xdr:colOff>
      <xdr:row>20</xdr:row>
      <xdr:rowOff>178593</xdr:rowOff>
    </xdr:to>
    <mc:AlternateContent xmlns:mc="http://schemas.openxmlformats.org/markup-compatibility/2006">
      <mc:Choice xmlns:a14="http://schemas.microsoft.com/office/drawing/2010/main" Requires="a14">
        <xdr:graphicFrame macro="">
          <xdr:nvGraphicFramePr>
            <xdr:cNvPr id="3" name="Employment Status">
              <a:extLst>
                <a:ext uri="{FF2B5EF4-FFF2-40B4-BE49-F238E27FC236}">
                  <a16:creationId xmlns:a16="http://schemas.microsoft.com/office/drawing/2014/main" id="{97B2583E-26F0-08F9-EF51-EA734327B3CB}"/>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dr:sp macro="" textlink="">
          <xdr:nvSpPr>
            <xdr:cNvPr id="0" name=""/>
            <xdr:cNvSpPr>
              <a:spLocks noTextEdit="1"/>
            </xdr:cNvSpPr>
          </xdr:nvSpPr>
          <xdr:spPr>
            <a:xfrm>
              <a:off x="4186238" y="2807493"/>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19</xdr:row>
      <xdr:rowOff>0</xdr:rowOff>
    </xdr:from>
    <xdr:to>
      <xdr:col>10</xdr:col>
      <xdr:colOff>781050</xdr:colOff>
      <xdr:row>27</xdr:row>
      <xdr:rowOff>38100</xdr:rowOff>
    </xdr:to>
    <mc:AlternateContent xmlns:mc="http://schemas.openxmlformats.org/markup-compatibility/2006" xmlns:a14="http://schemas.microsoft.com/office/drawing/2010/main">
      <mc:Choice Requires="a14">
        <xdr:graphicFrame macro="">
          <xdr:nvGraphicFramePr>
            <xdr:cNvPr id="4" name="Performance Band">
              <a:extLst>
                <a:ext uri="{FF2B5EF4-FFF2-40B4-BE49-F238E27FC236}">
                  <a16:creationId xmlns:a16="http://schemas.microsoft.com/office/drawing/2014/main" id="{6504D3AA-0208-8158-CC52-3AB2257CEDF2}"/>
                </a:ext>
              </a:extLst>
            </xdr:cNvPr>
            <xdr:cNvGraphicFramePr/>
          </xdr:nvGraphicFramePr>
          <xdr:xfrm>
            <a:off x="0" y="0"/>
            <a:ext cx="0" cy="0"/>
          </xdr:xfrm>
          <a:graphic>
            <a:graphicData uri="http://schemas.microsoft.com/office/drawing/2010/slicer">
              <sle:slicer xmlns:sle="http://schemas.microsoft.com/office/drawing/2010/slicer" name="Performance Band"/>
            </a:graphicData>
          </a:graphic>
        </xdr:graphicFrame>
      </mc:Choice>
      <mc:Fallback xmlns="">
        <xdr:sp macro="" textlink="">
          <xdr:nvSpPr>
            <xdr:cNvPr id="0" name=""/>
            <xdr:cNvSpPr>
              <a:spLocks noTextEdit="1"/>
            </xdr:cNvSpPr>
          </xdr:nvSpPr>
          <xdr:spPr>
            <a:xfrm>
              <a:off x="9965531" y="3619500"/>
              <a:ext cx="18288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23</xdr:col>
      <xdr:colOff>472108</xdr:colOff>
      <xdr:row>6</xdr:row>
      <xdr:rowOff>24848</xdr:rowOff>
    </xdr:from>
    <xdr:to>
      <xdr:col>30</xdr:col>
      <xdr:colOff>289892</xdr:colOff>
      <xdr:row>23</xdr:row>
      <xdr:rowOff>0</xdr:rowOff>
    </xdr:to>
    <xdr:graphicFrame macro="">
      <xdr:nvGraphicFramePr>
        <xdr:cNvPr id="2" name="Chart 1">
          <a:extLst>
            <a:ext uri="{FF2B5EF4-FFF2-40B4-BE49-F238E27FC236}">
              <a16:creationId xmlns:a16="http://schemas.microsoft.com/office/drawing/2014/main" id="{75963E4B-7A41-4B1D-9112-79324D7BF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571501</xdr:colOff>
      <xdr:row>2</xdr:row>
      <xdr:rowOff>74544</xdr:rowOff>
    </xdr:from>
    <xdr:to>
      <xdr:col>18</xdr:col>
      <xdr:colOff>364435</xdr:colOff>
      <xdr:row>16</xdr:row>
      <xdr:rowOff>150744</xdr:rowOff>
    </xdr:to>
    <xdr:graphicFrame macro="">
      <xdr:nvGraphicFramePr>
        <xdr:cNvPr id="3" name="Chart 2">
          <a:extLst>
            <a:ext uri="{FF2B5EF4-FFF2-40B4-BE49-F238E27FC236}">
              <a16:creationId xmlns:a16="http://schemas.microsoft.com/office/drawing/2014/main" id="{76BAEC0D-6FF8-448D-B7E8-569B10065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530087</xdr:colOff>
      <xdr:row>22</xdr:row>
      <xdr:rowOff>115956</xdr:rowOff>
    </xdr:from>
    <xdr:to>
      <xdr:col>11</xdr:col>
      <xdr:colOff>513522</xdr:colOff>
      <xdr:row>35</xdr:row>
      <xdr:rowOff>132522</xdr:rowOff>
    </xdr:to>
    <xdr:graphicFrame macro="">
      <xdr:nvGraphicFramePr>
        <xdr:cNvPr id="4" name="Chart 3">
          <a:extLst>
            <a:ext uri="{FF2B5EF4-FFF2-40B4-BE49-F238E27FC236}">
              <a16:creationId xmlns:a16="http://schemas.microsoft.com/office/drawing/2014/main" id="{9BD41F82-16E3-43CA-8253-52C0DB4BE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265044</xdr:colOff>
      <xdr:row>2</xdr:row>
      <xdr:rowOff>91109</xdr:rowOff>
    </xdr:from>
    <xdr:to>
      <xdr:col>8</xdr:col>
      <xdr:colOff>571500</xdr:colOff>
      <xdr:row>14</xdr:row>
      <xdr:rowOff>165652</xdr:rowOff>
    </xdr:to>
    <xdr:graphicFrame macro="">
      <xdr:nvGraphicFramePr>
        <xdr:cNvPr id="5" name="Chart 4">
          <a:extLst>
            <a:ext uri="{FF2B5EF4-FFF2-40B4-BE49-F238E27FC236}">
              <a16:creationId xmlns:a16="http://schemas.microsoft.com/office/drawing/2014/main" id="{A0D37CB6-0D27-42ED-A092-29E1A8C85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0.36089</cdr:x>
      <cdr:y>0.53608</cdr:y>
    </cdr:from>
    <cdr:to>
      <cdr:x>0.58347</cdr:x>
      <cdr:y>0.82062</cdr:y>
    </cdr:to>
    <cdr:sp macro="" textlink="">
      <cdr:nvSpPr>
        <cdr:cNvPr id="2" name="TextBox 1">
          <a:extLst xmlns:a="http://schemas.openxmlformats.org/drawingml/2006/main">
            <a:ext uri="{FF2B5EF4-FFF2-40B4-BE49-F238E27FC236}">
              <a16:creationId xmlns:a16="http://schemas.microsoft.com/office/drawing/2014/main" id="{CED17A56-619B-B8C4-2CA2-8B206E97DB65}"/>
            </a:ext>
          </a:extLst>
        </cdr:cNvPr>
        <cdr:cNvSpPr txBox="1"/>
      </cdr:nvSpPr>
      <cdr:spPr>
        <a:xfrm xmlns:a="http://schemas.openxmlformats.org/drawingml/2006/main">
          <a:off x="1482588" y="1722782"/>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0.3629</cdr:x>
      <cdr:y>0.45361</cdr:y>
    </cdr:from>
    <cdr:to>
      <cdr:x>0.58548</cdr:x>
      <cdr:y>0.73814</cdr:y>
    </cdr:to>
    <cdr:sp macro="" textlink="">
      <cdr:nvSpPr>
        <cdr:cNvPr id="3" name="TextBox 2">
          <a:extLst xmlns:a="http://schemas.openxmlformats.org/drawingml/2006/main">
            <a:ext uri="{FF2B5EF4-FFF2-40B4-BE49-F238E27FC236}">
              <a16:creationId xmlns:a16="http://schemas.microsoft.com/office/drawing/2014/main" id="{6660CC09-B26A-DBF9-3D83-CB893160B5C5}"/>
            </a:ext>
          </a:extLst>
        </cdr:cNvPr>
        <cdr:cNvSpPr txBox="1"/>
      </cdr:nvSpPr>
      <cdr:spPr>
        <a:xfrm xmlns:a="http://schemas.openxmlformats.org/drawingml/2006/main">
          <a:off x="1490870" y="1457739"/>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19.755175231483" createdVersion="8" refreshedVersion="8" minRefreshableVersion="3" recordCount="150" xr:uid="{44AA81E7-7E62-48A6-AE28-21AB724FDC3B}">
  <cacheSource type="worksheet">
    <worksheetSource name="HR_PIVOT"/>
  </cacheSource>
  <cacheFields count="16">
    <cacheField name="Emp ID" numFmtId="0">
      <sharedItems count="150">
        <s v="EMP127"/>
        <s v="EMP046"/>
        <s v="EMP134"/>
        <s v="EMP139"/>
        <s v="EMP112"/>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sharedItems>
    </cacheField>
    <cacheField name="First_Name" numFmtId="0">
      <sharedItems/>
    </cacheField>
    <cacheField name="Last_Name" numFmtId="0">
      <sharedItems/>
    </cacheField>
    <cacheField name="Dept Code" numFmtId="0">
      <sharedItems count="6">
        <s v="IT02"/>
        <s v="MKT04"/>
        <s v="FIN03"/>
        <s v="OPS06"/>
        <s v="SAL05"/>
        <s v="HR01"/>
      </sharedItems>
    </cacheField>
    <cacheField name="Hire Date" numFmtId="165">
      <sharedItems containsSemiMixedTypes="0" containsNonDate="0" containsDate="1" containsString="0" minDate="2015-01-04T00:00:00" maxDate="2023-12-13T00:00:00" count="147">
        <d v="2017-12-24T00:00:00"/>
        <d v="2022-04-08T00:00:00"/>
        <d v="2016-03-02T00:00:00"/>
        <d v="2023-07-03T00:00:00"/>
        <d v="2023-02-20T00:00:00"/>
        <d v="2020-03-02T00:00:00"/>
        <d v="2023-12-12T00:00:00"/>
        <d v="2020-12-09T00:00:00"/>
        <d v="2018-01-07T00:00:00"/>
        <d v="2016-11-02T00:00:00"/>
        <d v="2020-03-21T00:00:00"/>
        <d v="2016-02-25T00:00:00"/>
        <d v="2021-06-17T00:00:00"/>
        <d v="2020-06-19T00:00:00"/>
        <d v="2019-12-21T00:00:00"/>
        <d v="2023-08-31T00:00:00"/>
        <d v="2015-11-29T00:00:00"/>
        <d v="2017-06-13T00:00:00"/>
        <d v="2018-05-15T00:00:00"/>
        <d v="2016-07-24T00:00:00"/>
        <d v="2017-12-07T00:00:00"/>
        <d v="2021-06-06T00:00:00"/>
        <d v="2022-09-11T00:00:00"/>
        <d v="2016-07-14T00:00:00"/>
        <d v="2022-06-16T00:00:00"/>
        <d v="2023-07-27T00:00:00"/>
        <d v="2019-09-24T00:00:00"/>
        <d v="2022-07-23T00:00:00"/>
        <d v="2018-05-13T00:00:00"/>
        <d v="2015-07-17T00:00:00"/>
        <d v="2015-08-05T00:00:00"/>
        <d v="2023-09-26T00:00:00"/>
        <d v="2019-06-10T00:00:00"/>
        <d v="2022-01-17T00:00:00"/>
        <d v="2017-07-03T00:00:00"/>
        <d v="2015-09-01T00:00:00"/>
        <d v="2022-08-03T00:00:00"/>
        <d v="2022-06-29T00:00:00"/>
        <d v="2020-04-28T00:00:00"/>
        <d v="2017-09-09T00:00:00"/>
        <d v="2018-03-22T00:00:00"/>
        <d v="2020-05-07T00:00:00"/>
        <d v="2019-03-25T00:00:00"/>
        <d v="2019-08-09T00:00:00"/>
        <d v="2016-10-04T00:00:00"/>
        <d v="2019-07-10T00:00:00"/>
        <d v="2021-08-29T00:00:00"/>
        <d v="2017-01-26T00:00:00"/>
        <d v="2020-05-30T00:00:00"/>
        <d v="2022-02-20T00:00:00"/>
        <d v="2016-09-15T00:00:00"/>
        <d v="2019-10-07T00:00:00"/>
        <d v="2018-12-30T00:00:00"/>
        <d v="2020-12-24T00:00:00"/>
        <d v="2023-07-05T00:00:00"/>
        <d v="2020-11-13T00:00:00"/>
        <d v="2018-02-07T00:00:00"/>
        <d v="2023-11-25T00:00:00"/>
        <d v="2023-10-18T00:00:00"/>
        <d v="2020-09-05T00:00:00"/>
        <d v="2017-03-06T00:00:00"/>
        <d v="2015-04-28T00:00:00"/>
        <d v="2017-04-13T00:00:00"/>
        <d v="2022-09-23T00:00:00"/>
        <d v="2016-11-11T00:00:00"/>
        <d v="2017-03-24T00:00:00"/>
        <d v="2019-05-05T00:00:00"/>
        <d v="2021-07-25T00:00:00"/>
        <d v="2017-09-30T00:00:00"/>
        <d v="2015-07-07T00:00:00"/>
        <d v="2018-07-02T00:00:00"/>
        <d v="2022-09-15T00:00:00"/>
        <d v="2015-09-02T00:00:00"/>
        <d v="2016-10-11T00:00:00"/>
        <d v="2019-04-20T00:00:00"/>
        <d v="2017-02-19T00:00:00"/>
        <d v="2021-09-07T00:00:00"/>
        <d v="2019-05-14T00:00:00"/>
        <d v="2015-11-22T00:00:00"/>
        <d v="2018-09-29T00:00:00"/>
        <d v="2023-09-02T00:00:00"/>
        <d v="2022-07-17T00:00:00"/>
        <d v="2021-02-07T00:00:00"/>
        <d v="2023-10-04T00:00:00"/>
        <d v="2020-08-30T00:00:00"/>
        <d v="2021-08-14T00:00:00"/>
        <d v="2019-11-27T00:00:00"/>
        <d v="2017-05-25T00:00:00"/>
        <d v="2018-12-02T00:00:00"/>
        <d v="2019-06-23T00:00:00"/>
        <d v="2015-10-27T00:00:00"/>
        <d v="2018-06-19T00:00:00"/>
        <d v="2018-01-12T00:00:00"/>
        <d v="2015-01-04T00:00:00"/>
        <d v="2018-12-05T00:00:00"/>
        <d v="2021-10-13T00:00:00"/>
        <d v="2020-09-07T00:00:00"/>
        <d v="2019-03-08T00:00:00"/>
        <d v="2015-03-11T00:00:00"/>
        <d v="2023-05-09T00:00:00"/>
        <d v="2018-01-22T00:00:00"/>
        <d v="2020-02-18T00:00:00"/>
        <d v="2016-05-22T00:00:00"/>
        <d v="2021-06-02T00:00:00"/>
        <d v="2021-07-17T00:00:00"/>
        <d v="2016-11-13T00:00:00"/>
        <d v="2019-02-17T00:00:00"/>
        <d v="2016-09-12T00:00:00"/>
        <d v="2021-08-13T00:00:00"/>
        <d v="2020-06-14T00:00:00"/>
        <d v="2022-07-05T00:00:00"/>
        <d v="2016-07-10T00:00:00"/>
        <d v="2022-04-23T00:00:00"/>
        <d v="2017-05-10T00:00:00"/>
        <d v="2020-05-20T00:00:00"/>
        <d v="2023-04-20T00:00:00"/>
        <d v="2021-10-31T00:00:00"/>
        <d v="2021-10-24T00:00:00"/>
        <d v="2017-08-09T00:00:00"/>
        <d v="2023-01-04T00:00:00"/>
        <d v="2020-08-10T00:00:00"/>
        <d v="2022-04-02T00:00:00"/>
        <d v="2018-03-24T00:00:00"/>
        <d v="2018-07-24T00:00:00"/>
        <d v="2018-07-20T00:00:00"/>
        <d v="2016-03-04T00:00:00"/>
        <d v="2022-03-23T00:00:00"/>
        <d v="2017-07-28T00:00:00"/>
        <d v="2023-05-11T00:00:00"/>
        <d v="2022-03-19T00:00:00"/>
        <d v="2017-12-22T00:00:00"/>
        <d v="2018-09-17T00:00:00"/>
        <d v="2021-06-28T00:00:00"/>
        <d v="2017-10-03T00:00:00"/>
        <d v="2015-10-22T00:00:00"/>
        <d v="2018-06-06T00:00:00"/>
        <d v="2017-07-16T00:00:00"/>
        <d v="2015-06-20T00:00:00"/>
        <d v="2019-05-24T00:00:00"/>
        <d v="2020-02-26T00:00:00"/>
        <d v="2023-03-06T00:00:00"/>
        <d v="2019-01-12T00:00:00"/>
        <d v="2023-04-21T00:00:00"/>
        <d v="2016-05-29T00:00:00"/>
        <d v="2022-05-30T00:00:00"/>
        <d v="2016-11-03T00:00:00"/>
        <d v="2022-10-14T00:00:00"/>
      </sharedItems>
      <fieldGroup par="15"/>
    </cacheField>
    <cacheField name="Salary" numFmtId="164">
      <sharedItems containsSemiMixedTypes="0" containsString="0" containsNumber="1" containsInteger="1" minValue="45196" maxValue="118947"/>
    </cacheField>
    <cacheField name="Perf_Score" numFmtId="0">
      <sharedItems containsSemiMixedTypes="0" containsString="0" containsNumber="1" containsInteger="1" minValue="30" maxValue="99" count="58">
        <n v="52"/>
        <n v="68"/>
        <n v="54"/>
        <n v="70"/>
        <n v="40"/>
        <n v="49"/>
        <n v="45"/>
        <n v="79"/>
        <n v="58"/>
        <n v="62"/>
        <n v="48"/>
        <n v="77"/>
        <n v="42"/>
        <n v="93"/>
        <n v="75"/>
        <n v="50"/>
        <n v="88"/>
        <n v="64"/>
        <n v="32"/>
        <n v="59"/>
        <n v="90"/>
        <n v="66"/>
        <n v="80"/>
        <n v="72"/>
        <n v="78"/>
        <n v="30"/>
        <n v="98"/>
        <n v="71"/>
        <n v="55"/>
        <n v="76"/>
        <n v="84"/>
        <n v="53"/>
        <n v="63"/>
        <n v="96"/>
        <n v="95"/>
        <n v="33"/>
        <n v="91"/>
        <n v="46"/>
        <n v="99"/>
        <n v="87"/>
        <n v="36"/>
        <n v="97"/>
        <n v="65"/>
        <n v="67"/>
        <n v="34"/>
        <n v="61"/>
        <n v="74"/>
        <n v="94"/>
        <n v="81"/>
        <n v="57"/>
        <n v="69"/>
        <n v="51"/>
        <n v="82"/>
        <n v="83"/>
        <n v="38"/>
        <n v="35"/>
        <n v="92"/>
        <n v="73"/>
      </sharedItems>
    </cacheField>
    <cacheField name="Employment Status" numFmtId="0">
      <sharedItems count="3">
        <s v="Active"/>
        <s v="Left"/>
        <s v="Resigned"/>
      </sharedItems>
    </cacheField>
    <cacheField name="Department Name" numFmtId="0">
      <sharedItems count="6">
        <s v="Information Technology"/>
        <s v="Marketing"/>
        <s v="Finance"/>
        <s v="Operations"/>
        <s v="Sales"/>
        <s v="Human Resources"/>
      </sharedItems>
    </cacheField>
    <cacheField name="Full Name" numFmtId="0">
      <sharedItems/>
    </cacheField>
    <cacheField name="Years of Service" numFmtId="0">
      <sharedItems containsSemiMixedTypes="0" containsString="0" containsNumber="1" containsInteger="1" minValue="2" maxValue="11"/>
    </cacheField>
    <cacheField name="Performance Band" numFmtId="0">
      <sharedItems count="5">
        <s v="Developing"/>
        <s v="Achieving"/>
        <s v="Needs Improvement"/>
        <s v="Exceeding"/>
        <s v="Outstanding"/>
      </sharedItems>
    </cacheField>
    <cacheField name="Bonus" numFmtId="2">
      <sharedItems containsSemiMixedTypes="0" containsString="0" containsNumber="1" minValue="0" maxValue="0.12"/>
    </cacheField>
    <cacheField name="Months (Hire Date)" numFmtId="0" databaseField="0">
      <fieldGroup base="4">
        <rangePr groupBy="months" startDate="2015-01-04T00:00:00" endDate="2023-12-13T00:00:00"/>
        <groupItems count="14">
          <s v="&lt;1/4/2015"/>
          <s v="Jan"/>
          <s v="Feb"/>
          <s v="Mar"/>
          <s v="Apr"/>
          <s v="May"/>
          <s v="Jun"/>
          <s v="Jul"/>
          <s v="Aug"/>
          <s v="Sep"/>
          <s v="Oct"/>
          <s v="Nov"/>
          <s v="Dec"/>
          <s v="&gt;12/13/2023"/>
        </groupItems>
      </fieldGroup>
    </cacheField>
    <cacheField name="Quarters (Hire Date)" numFmtId="0" databaseField="0">
      <fieldGroup base="4">
        <rangePr groupBy="quarters" startDate="2015-01-04T00:00:00" endDate="2023-12-13T00:00:00"/>
        <groupItems count="6">
          <s v="&lt;1/4/2015"/>
          <s v="Qtr1"/>
          <s v="Qtr2"/>
          <s v="Qtr3"/>
          <s v="Qtr4"/>
          <s v="&gt;12/13/2023"/>
        </groupItems>
      </fieldGroup>
    </cacheField>
    <cacheField name="Years (Hire Date)" numFmtId="0" databaseField="0">
      <fieldGroup base="4">
        <rangePr groupBy="years" startDate="2015-01-04T00:00:00" endDate="2023-12-13T00:00:00"/>
        <groupItems count="11">
          <s v="&lt;1/4/2015"/>
          <s v="2015"/>
          <s v="2016"/>
          <s v="2017"/>
          <s v="2018"/>
          <s v="2019"/>
          <s v="2020"/>
          <s v="2021"/>
          <s v="2022"/>
          <s v="2023"/>
          <s v="&gt;12/13/2023"/>
        </groupItems>
      </fieldGroup>
    </cacheField>
  </cacheFields>
  <extLst>
    <ext xmlns:x14="http://schemas.microsoft.com/office/spreadsheetml/2009/9/main" uri="{725AE2AE-9491-48be-B2B4-4EB974FC3084}">
      <x14:pivotCacheDefinition pivotCacheId="823759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Emily"/>
    <s v="Brown"/>
    <x v="0"/>
    <x v="0"/>
    <n v="50361"/>
    <x v="0"/>
    <x v="0"/>
    <x v="0"/>
    <s v="Brown  Emily"/>
    <n v="8"/>
    <x v="0"/>
    <n v="0.02"/>
  </r>
  <r>
    <x v="1"/>
    <s v="Richard"/>
    <s v="Hernandez"/>
    <x v="1"/>
    <x v="1"/>
    <n v="112673"/>
    <x v="1"/>
    <x v="0"/>
    <x v="1"/>
    <s v="Hernandez  Richard"/>
    <n v="4"/>
    <x v="0"/>
    <n v="0.02"/>
  </r>
  <r>
    <x v="2"/>
    <s v="Emily"/>
    <s v="Gonzalez"/>
    <x v="0"/>
    <x v="2"/>
    <n v="114425"/>
    <x v="2"/>
    <x v="1"/>
    <x v="0"/>
    <s v="Gonzalez  Emily"/>
    <n v="10"/>
    <x v="0"/>
    <n v="0.02"/>
  </r>
  <r>
    <x v="3"/>
    <s v="John"/>
    <s v="Martinez"/>
    <x v="2"/>
    <x v="3"/>
    <n v="103831"/>
    <x v="3"/>
    <x v="0"/>
    <x v="2"/>
    <s v="Martinez  John"/>
    <n v="3"/>
    <x v="1"/>
    <n v="0.05"/>
  </r>
  <r>
    <x v="4"/>
    <s v="Thomas"/>
    <s v="Smith"/>
    <x v="0"/>
    <x v="4"/>
    <n v="73785"/>
    <x v="4"/>
    <x v="1"/>
    <x v="0"/>
    <s v="Smith  Thomas"/>
    <n v="3"/>
    <x v="2"/>
    <n v="0"/>
  </r>
  <r>
    <x v="5"/>
    <s v="Emily"/>
    <s v="Johnson"/>
    <x v="3"/>
    <x v="5"/>
    <n v="115882"/>
    <x v="5"/>
    <x v="0"/>
    <x v="3"/>
    <s v="Johnson  Emily"/>
    <n v="6"/>
    <x v="2"/>
    <n v="0"/>
  </r>
  <r>
    <x v="6"/>
    <s v="John"/>
    <s v="Wilson"/>
    <x v="3"/>
    <x v="6"/>
    <n v="59980"/>
    <x v="3"/>
    <x v="1"/>
    <x v="3"/>
    <s v="Wilson  John"/>
    <n v="2"/>
    <x v="1"/>
    <n v="0.05"/>
  </r>
  <r>
    <x v="7"/>
    <s v="Jessica"/>
    <s v="Smith"/>
    <x v="3"/>
    <x v="7"/>
    <n v="68728"/>
    <x v="6"/>
    <x v="0"/>
    <x v="3"/>
    <s v="Smith  Jessica"/>
    <n v="5"/>
    <x v="2"/>
    <n v="0"/>
  </r>
  <r>
    <x v="8"/>
    <s v="Jessica"/>
    <s v="Rodriguez"/>
    <x v="2"/>
    <x v="8"/>
    <n v="102139"/>
    <x v="7"/>
    <x v="0"/>
    <x v="2"/>
    <s v="Rodriguez  Jessica"/>
    <n v="8"/>
    <x v="1"/>
    <n v="0.05"/>
  </r>
  <r>
    <x v="9"/>
    <s v="Michael"/>
    <s v="Martinez"/>
    <x v="4"/>
    <x v="9"/>
    <n v="94998"/>
    <x v="8"/>
    <x v="0"/>
    <x v="4"/>
    <s v="Martinez  Michael"/>
    <n v="9"/>
    <x v="0"/>
    <n v="0.02"/>
  </r>
  <r>
    <x v="10"/>
    <s v="Emily"/>
    <s v="Miller"/>
    <x v="4"/>
    <x v="10"/>
    <n v="118635"/>
    <x v="5"/>
    <x v="0"/>
    <x v="4"/>
    <s v="Miller  Emily"/>
    <n v="6"/>
    <x v="2"/>
    <n v="0"/>
  </r>
  <r>
    <x v="11"/>
    <s v="Emily"/>
    <s v="Hernandez"/>
    <x v="0"/>
    <x v="11"/>
    <n v="76918"/>
    <x v="9"/>
    <x v="0"/>
    <x v="0"/>
    <s v="Hernandez  Emily"/>
    <n v="10"/>
    <x v="0"/>
    <n v="0.02"/>
  </r>
  <r>
    <x v="12"/>
    <s v="Jane"/>
    <s v="Williams"/>
    <x v="1"/>
    <x v="12"/>
    <n v="61408"/>
    <x v="10"/>
    <x v="0"/>
    <x v="1"/>
    <s v="Williams  Jane"/>
    <n v="5"/>
    <x v="2"/>
    <n v="0"/>
  </r>
  <r>
    <x v="13"/>
    <s v="Jane"/>
    <s v="Miller"/>
    <x v="1"/>
    <x v="13"/>
    <n v="99990"/>
    <x v="2"/>
    <x v="0"/>
    <x v="1"/>
    <s v="Miller  Jane"/>
    <n v="6"/>
    <x v="0"/>
    <n v="0.02"/>
  </r>
  <r>
    <x v="14"/>
    <s v="Robert"/>
    <s v="Jones"/>
    <x v="1"/>
    <x v="14"/>
    <n v="80385"/>
    <x v="1"/>
    <x v="0"/>
    <x v="1"/>
    <s v="Jones  Robert"/>
    <n v="6"/>
    <x v="0"/>
    <n v="0.02"/>
  </r>
  <r>
    <x v="15"/>
    <s v="Thomas"/>
    <s v="Rodriguez"/>
    <x v="4"/>
    <x v="15"/>
    <n v="65290"/>
    <x v="11"/>
    <x v="0"/>
    <x v="4"/>
    <s v="Rodriguez  Thomas"/>
    <n v="2"/>
    <x v="1"/>
    <n v="0.05"/>
  </r>
  <r>
    <x v="16"/>
    <s v="Emily"/>
    <s v="Davis"/>
    <x v="0"/>
    <x v="16"/>
    <n v="105765"/>
    <x v="12"/>
    <x v="0"/>
    <x v="0"/>
    <s v="Davis  Emily"/>
    <n v="10"/>
    <x v="2"/>
    <n v="0"/>
  </r>
  <r>
    <x v="17"/>
    <s v="James"/>
    <s v="Martinez"/>
    <x v="4"/>
    <x v="17"/>
    <n v="102921"/>
    <x v="5"/>
    <x v="0"/>
    <x v="4"/>
    <s v="Martinez  James"/>
    <n v="9"/>
    <x v="2"/>
    <n v="0"/>
  </r>
  <r>
    <x v="18"/>
    <s v="Ashley"/>
    <s v="Lopez"/>
    <x v="1"/>
    <x v="18"/>
    <n v="73984"/>
    <x v="13"/>
    <x v="0"/>
    <x v="1"/>
    <s v="Lopez  Ashley"/>
    <n v="8"/>
    <x v="3"/>
    <n v="0.08"/>
  </r>
  <r>
    <x v="19"/>
    <s v="Amanda"/>
    <s v="Gonzalez"/>
    <x v="0"/>
    <x v="19"/>
    <n v="83594"/>
    <x v="14"/>
    <x v="0"/>
    <x v="0"/>
    <s v="Gonzalez  Amanda"/>
    <n v="9"/>
    <x v="1"/>
    <n v="0.05"/>
  </r>
  <r>
    <x v="20"/>
    <s v="Michael"/>
    <s v="Hernandez"/>
    <x v="2"/>
    <x v="20"/>
    <n v="118527"/>
    <x v="15"/>
    <x v="0"/>
    <x v="2"/>
    <s v="Hernandez  Michael"/>
    <n v="8"/>
    <x v="0"/>
    <n v="0.02"/>
  </r>
  <r>
    <x v="21"/>
    <s v="Richard"/>
    <s v="Hernandez"/>
    <x v="1"/>
    <x v="21"/>
    <n v="107871"/>
    <x v="16"/>
    <x v="0"/>
    <x v="1"/>
    <s v="Hernandez  Richard"/>
    <n v="5"/>
    <x v="3"/>
    <n v="0.08"/>
  </r>
  <r>
    <x v="22"/>
    <s v="Michael"/>
    <s v="Rodriguez"/>
    <x v="0"/>
    <x v="22"/>
    <n v="93956"/>
    <x v="15"/>
    <x v="1"/>
    <x v="0"/>
    <s v="Rodriguez  Michael"/>
    <n v="3"/>
    <x v="0"/>
    <n v="0.02"/>
  </r>
  <r>
    <x v="23"/>
    <s v="Jessica"/>
    <s v="Johnson"/>
    <x v="2"/>
    <x v="23"/>
    <n v="100851"/>
    <x v="17"/>
    <x v="0"/>
    <x v="2"/>
    <s v="Johnson  Jessica"/>
    <n v="10"/>
    <x v="0"/>
    <n v="0.02"/>
  </r>
  <r>
    <x v="24"/>
    <s v="Ashley"/>
    <s v="Williams"/>
    <x v="4"/>
    <x v="24"/>
    <n v="68655"/>
    <x v="18"/>
    <x v="0"/>
    <x v="4"/>
    <s v="Williams  Ashley"/>
    <n v="4"/>
    <x v="2"/>
    <n v="0"/>
  </r>
  <r>
    <x v="25"/>
    <s v="Ashley"/>
    <s v="Williams"/>
    <x v="4"/>
    <x v="25"/>
    <n v="81205"/>
    <x v="19"/>
    <x v="0"/>
    <x v="4"/>
    <s v="Williams  Ashley"/>
    <n v="2"/>
    <x v="0"/>
    <n v="0.02"/>
  </r>
  <r>
    <x v="26"/>
    <s v="John"/>
    <s v="Wilson"/>
    <x v="4"/>
    <x v="26"/>
    <n v="77610"/>
    <x v="16"/>
    <x v="0"/>
    <x v="4"/>
    <s v="Wilson  John"/>
    <n v="6"/>
    <x v="3"/>
    <n v="0.08"/>
  </r>
  <r>
    <x v="27"/>
    <s v="Thomas"/>
    <s v="Rodriguez"/>
    <x v="0"/>
    <x v="27"/>
    <n v="50873"/>
    <x v="20"/>
    <x v="0"/>
    <x v="0"/>
    <s v="Rodriguez  Thomas"/>
    <n v="3"/>
    <x v="3"/>
    <n v="0.08"/>
  </r>
  <r>
    <x v="28"/>
    <s v="Michael"/>
    <s v="Wilson"/>
    <x v="2"/>
    <x v="28"/>
    <n v="85312"/>
    <x v="21"/>
    <x v="0"/>
    <x v="2"/>
    <s v="Wilson  Michael"/>
    <n v="8"/>
    <x v="0"/>
    <n v="0.02"/>
  </r>
  <r>
    <x v="29"/>
    <s v="John"/>
    <s v="Rodriguez"/>
    <x v="4"/>
    <x v="29"/>
    <n v="83126"/>
    <x v="1"/>
    <x v="0"/>
    <x v="4"/>
    <s v="Rodriguez  John"/>
    <n v="10"/>
    <x v="0"/>
    <n v="0.02"/>
  </r>
  <r>
    <x v="30"/>
    <s v="Thomas"/>
    <s v="Hernandez"/>
    <x v="3"/>
    <x v="30"/>
    <n v="97055"/>
    <x v="22"/>
    <x v="0"/>
    <x v="3"/>
    <s v="Hernandez  Thomas"/>
    <n v="10"/>
    <x v="1"/>
    <n v="0.05"/>
  </r>
  <r>
    <x v="31"/>
    <s v="Michael"/>
    <s v="Johnson"/>
    <x v="0"/>
    <x v="31"/>
    <n v="66069"/>
    <x v="23"/>
    <x v="0"/>
    <x v="0"/>
    <s v="Johnson  Michael"/>
    <n v="2"/>
    <x v="1"/>
    <n v="0.05"/>
  </r>
  <r>
    <x v="32"/>
    <s v="Sarah"/>
    <s v="Brown"/>
    <x v="0"/>
    <x v="32"/>
    <n v="90157"/>
    <x v="8"/>
    <x v="0"/>
    <x v="0"/>
    <s v="Brown  Sarah"/>
    <n v="7"/>
    <x v="0"/>
    <n v="0.02"/>
  </r>
  <r>
    <x v="33"/>
    <s v="Jane"/>
    <s v="Martinez"/>
    <x v="5"/>
    <x v="33"/>
    <n v="59899"/>
    <x v="24"/>
    <x v="0"/>
    <x v="5"/>
    <s v="Martinez  Jane"/>
    <n v="4"/>
    <x v="1"/>
    <n v="0.05"/>
  </r>
  <r>
    <x v="34"/>
    <s v="Emily"/>
    <s v="Jones"/>
    <x v="2"/>
    <x v="34"/>
    <n v="113389"/>
    <x v="25"/>
    <x v="0"/>
    <x v="2"/>
    <s v="Jones  Emily"/>
    <n v="9"/>
    <x v="2"/>
    <n v="0"/>
  </r>
  <r>
    <x v="35"/>
    <s v="Emily"/>
    <s v="Brown"/>
    <x v="0"/>
    <x v="35"/>
    <n v="102691"/>
    <x v="0"/>
    <x v="0"/>
    <x v="0"/>
    <s v="Brown  Emily"/>
    <n v="10"/>
    <x v="0"/>
    <n v="0.02"/>
  </r>
  <r>
    <x v="36"/>
    <s v="John"/>
    <s v="Wilson"/>
    <x v="3"/>
    <x v="36"/>
    <n v="111845"/>
    <x v="26"/>
    <x v="0"/>
    <x v="3"/>
    <s v="Wilson  John"/>
    <n v="3"/>
    <x v="4"/>
    <n v="0.12"/>
  </r>
  <r>
    <x v="37"/>
    <s v="Melissa"/>
    <s v="Brown"/>
    <x v="4"/>
    <x v="37"/>
    <n v="69219"/>
    <x v="13"/>
    <x v="0"/>
    <x v="4"/>
    <s v="Brown  Melissa"/>
    <n v="4"/>
    <x v="3"/>
    <n v="0.08"/>
  </r>
  <r>
    <x v="38"/>
    <s v="Michael"/>
    <s v="Smith"/>
    <x v="2"/>
    <x v="38"/>
    <n v="83454"/>
    <x v="22"/>
    <x v="1"/>
    <x v="2"/>
    <s v="Smith  Michael"/>
    <n v="6"/>
    <x v="1"/>
    <n v="0.05"/>
  </r>
  <r>
    <x v="39"/>
    <s v="Sarah"/>
    <s v="Miller"/>
    <x v="3"/>
    <x v="39"/>
    <n v="57514"/>
    <x v="1"/>
    <x v="0"/>
    <x v="3"/>
    <s v="Miller  Sarah"/>
    <n v="8"/>
    <x v="0"/>
    <n v="0.02"/>
  </r>
  <r>
    <x v="40"/>
    <s v="Emily"/>
    <s v="Wilson"/>
    <x v="4"/>
    <x v="40"/>
    <n v="86245"/>
    <x v="27"/>
    <x v="1"/>
    <x v="4"/>
    <s v="Wilson  Emily"/>
    <n v="8"/>
    <x v="1"/>
    <n v="0.05"/>
  </r>
  <r>
    <x v="41"/>
    <s v="David"/>
    <s v="Hernandez"/>
    <x v="4"/>
    <x v="41"/>
    <n v="52407"/>
    <x v="28"/>
    <x v="0"/>
    <x v="4"/>
    <s v="Hernandez  David"/>
    <n v="6"/>
    <x v="0"/>
    <n v="0.02"/>
  </r>
  <r>
    <x v="42"/>
    <s v="James"/>
    <s v="Smith"/>
    <x v="3"/>
    <x v="42"/>
    <n v="66606"/>
    <x v="13"/>
    <x v="2"/>
    <x v="3"/>
    <s v="Smith  James"/>
    <n v="7"/>
    <x v="3"/>
    <n v="0.08"/>
  </r>
  <r>
    <x v="43"/>
    <s v="Sarah"/>
    <s v="Williams"/>
    <x v="0"/>
    <x v="43"/>
    <n v="81896"/>
    <x v="7"/>
    <x v="2"/>
    <x v="0"/>
    <s v="Williams  Sarah"/>
    <n v="6"/>
    <x v="1"/>
    <n v="0.05"/>
  </r>
  <r>
    <x v="44"/>
    <s v="Amanda"/>
    <s v="Lopez"/>
    <x v="4"/>
    <x v="23"/>
    <n v="78402"/>
    <x v="2"/>
    <x v="0"/>
    <x v="4"/>
    <s v="Lopez  Amanda"/>
    <n v="10"/>
    <x v="0"/>
    <n v="0.02"/>
  </r>
  <r>
    <x v="45"/>
    <s v="Thomas"/>
    <s v="Lopez"/>
    <x v="3"/>
    <x v="44"/>
    <n v="105498"/>
    <x v="29"/>
    <x v="0"/>
    <x v="3"/>
    <s v="Lopez  Thomas"/>
    <n v="9"/>
    <x v="1"/>
    <n v="0.05"/>
  </r>
  <r>
    <x v="46"/>
    <s v="Melissa"/>
    <s v="Johnson"/>
    <x v="1"/>
    <x v="45"/>
    <n v="91749"/>
    <x v="23"/>
    <x v="1"/>
    <x v="1"/>
    <s v="Johnson  Melissa"/>
    <n v="7"/>
    <x v="1"/>
    <n v="0.05"/>
  </r>
  <r>
    <x v="47"/>
    <s v="Amanda"/>
    <s v="Johnson"/>
    <x v="3"/>
    <x v="46"/>
    <n v="99935"/>
    <x v="30"/>
    <x v="2"/>
    <x v="3"/>
    <s v="Johnson  Amanda"/>
    <n v="4"/>
    <x v="1"/>
    <n v="0.05"/>
  </r>
  <r>
    <x v="48"/>
    <s v="John"/>
    <s v="Davis"/>
    <x v="0"/>
    <x v="47"/>
    <n v="83531"/>
    <x v="25"/>
    <x v="1"/>
    <x v="0"/>
    <s v="Davis  John"/>
    <n v="9"/>
    <x v="2"/>
    <n v="0"/>
  </r>
  <r>
    <x v="49"/>
    <s v="James"/>
    <s v="Johnson"/>
    <x v="1"/>
    <x v="48"/>
    <n v="75023"/>
    <x v="1"/>
    <x v="0"/>
    <x v="1"/>
    <s v="Johnson  James"/>
    <n v="6"/>
    <x v="0"/>
    <n v="0.02"/>
  </r>
  <r>
    <x v="50"/>
    <s v="Jane"/>
    <s v="Davis"/>
    <x v="5"/>
    <x v="49"/>
    <n v="93290"/>
    <x v="31"/>
    <x v="0"/>
    <x v="5"/>
    <s v="Davis  Jane"/>
    <n v="4"/>
    <x v="0"/>
    <n v="0.02"/>
  </r>
  <r>
    <x v="51"/>
    <s v="Richard"/>
    <s v="Davis"/>
    <x v="3"/>
    <x v="50"/>
    <n v="115527"/>
    <x v="32"/>
    <x v="2"/>
    <x v="3"/>
    <s v="Davis  Richard"/>
    <n v="9"/>
    <x v="0"/>
    <n v="0.02"/>
  </r>
  <r>
    <x v="52"/>
    <s v="Thomas"/>
    <s v="Rodriguez"/>
    <x v="2"/>
    <x v="51"/>
    <n v="55920"/>
    <x v="30"/>
    <x v="0"/>
    <x v="2"/>
    <s v="Rodriguez  Thomas"/>
    <n v="6"/>
    <x v="1"/>
    <n v="0.05"/>
  </r>
  <r>
    <x v="53"/>
    <s v="Emily"/>
    <s v="Johnson"/>
    <x v="4"/>
    <x v="52"/>
    <n v="80189"/>
    <x v="25"/>
    <x v="0"/>
    <x v="4"/>
    <s v="Johnson  Emily"/>
    <n v="7"/>
    <x v="2"/>
    <n v="0"/>
  </r>
  <r>
    <x v="54"/>
    <s v="Emily"/>
    <s v="Garcia"/>
    <x v="5"/>
    <x v="53"/>
    <n v="118947"/>
    <x v="33"/>
    <x v="0"/>
    <x v="5"/>
    <s v="Garcia  Emily"/>
    <n v="5"/>
    <x v="4"/>
    <n v="0.12"/>
  </r>
  <r>
    <x v="55"/>
    <s v="Jane"/>
    <s v="Anderson"/>
    <x v="0"/>
    <x v="54"/>
    <n v="83594"/>
    <x v="2"/>
    <x v="0"/>
    <x v="0"/>
    <s v="Anderson  Jane"/>
    <n v="3"/>
    <x v="0"/>
    <n v="0.02"/>
  </r>
  <r>
    <x v="56"/>
    <s v="Thomas"/>
    <s v="Garcia"/>
    <x v="3"/>
    <x v="55"/>
    <n v="83002"/>
    <x v="14"/>
    <x v="0"/>
    <x v="3"/>
    <s v="Garcia  Thomas"/>
    <n v="5"/>
    <x v="1"/>
    <n v="0.05"/>
  </r>
  <r>
    <x v="57"/>
    <s v="David"/>
    <s v="Martinez"/>
    <x v="5"/>
    <x v="56"/>
    <n v="91655"/>
    <x v="34"/>
    <x v="0"/>
    <x v="5"/>
    <s v="Martinez  David"/>
    <n v="8"/>
    <x v="4"/>
    <n v="0.12"/>
  </r>
  <r>
    <x v="58"/>
    <s v="Emily"/>
    <s v="Brown"/>
    <x v="0"/>
    <x v="57"/>
    <n v="49435"/>
    <x v="1"/>
    <x v="1"/>
    <x v="0"/>
    <s v="Brown  Emily"/>
    <n v="2"/>
    <x v="0"/>
    <n v="0.02"/>
  </r>
  <r>
    <x v="59"/>
    <s v="Emily"/>
    <s v="Wilson"/>
    <x v="4"/>
    <x v="58"/>
    <n v="110381"/>
    <x v="13"/>
    <x v="0"/>
    <x v="4"/>
    <s v="Wilson  Emily"/>
    <n v="2"/>
    <x v="3"/>
    <n v="0.08"/>
  </r>
  <r>
    <x v="60"/>
    <s v="Michael"/>
    <s v="Anderson"/>
    <x v="5"/>
    <x v="59"/>
    <n v="114748"/>
    <x v="35"/>
    <x v="0"/>
    <x v="5"/>
    <s v="Anderson  Michael"/>
    <n v="5"/>
    <x v="2"/>
    <n v="0"/>
  </r>
  <r>
    <x v="61"/>
    <s v="Robert"/>
    <s v="Johnson"/>
    <x v="3"/>
    <x v="60"/>
    <n v="63302"/>
    <x v="36"/>
    <x v="0"/>
    <x v="3"/>
    <s v="Johnson  Robert"/>
    <n v="9"/>
    <x v="3"/>
    <n v="0.08"/>
  </r>
  <r>
    <x v="62"/>
    <s v="Robert"/>
    <s v="Miller"/>
    <x v="0"/>
    <x v="61"/>
    <n v="75519"/>
    <x v="17"/>
    <x v="0"/>
    <x v="0"/>
    <s v="Miller  Robert"/>
    <n v="11"/>
    <x v="0"/>
    <n v="0.02"/>
  </r>
  <r>
    <x v="63"/>
    <s v="Jane"/>
    <s v="Davis"/>
    <x v="2"/>
    <x v="62"/>
    <n v="103891"/>
    <x v="22"/>
    <x v="0"/>
    <x v="2"/>
    <s v="Davis  Jane"/>
    <n v="9"/>
    <x v="1"/>
    <n v="0.05"/>
  </r>
  <r>
    <x v="64"/>
    <s v="Thomas"/>
    <s v="Davis"/>
    <x v="3"/>
    <x v="63"/>
    <n v="83002"/>
    <x v="37"/>
    <x v="1"/>
    <x v="3"/>
    <s v="Davis  Thomas"/>
    <n v="3"/>
    <x v="2"/>
    <n v="0"/>
  </r>
  <r>
    <x v="65"/>
    <s v="Thomas"/>
    <s v="Jones"/>
    <x v="1"/>
    <x v="64"/>
    <n v="50936"/>
    <x v="38"/>
    <x v="0"/>
    <x v="1"/>
    <s v="Jones  Thomas"/>
    <n v="9"/>
    <x v="4"/>
    <n v="0.12"/>
  </r>
  <r>
    <x v="66"/>
    <s v="Michael"/>
    <s v="Miller"/>
    <x v="4"/>
    <x v="65"/>
    <n v="111240"/>
    <x v="1"/>
    <x v="0"/>
    <x v="4"/>
    <s v="Miller  Michael"/>
    <n v="9"/>
    <x v="0"/>
    <n v="0.02"/>
  </r>
  <r>
    <x v="67"/>
    <s v="Richard"/>
    <s v="Gonzalez"/>
    <x v="5"/>
    <x v="66"/>
    <n v="51567"/>
    <x v="39"/>
    <x v="2"/>
    <x v="5"/>
    <s v="Gonzalez  Richard"/>
    <n v="7"/>
    <x v="3"/>
    <n v="0.08"/>
  </r>
  <r>
    <x v="68"/>
    <s v="Melissa"/>
    <s v="Williams"/>
    <x v="5"/>
    <x v="67"/>
    <n v="82225"/>
    <x v="40"/>
    <x v="0"/>
    <x v="5"/>
    <s v="Williams  Melissa"/>
    <n v="4"/>
    <x v="2"/>
    <n v="0"/>
  </r>
  <r>
    <x v="69"/>
    <s v="Robert"/>
    <s v="Miller"/>
    <x v="5"/>
    <x v="68"/>
    <n v="55270"/>
    <x v="39"/>
    <x v="0"/>
    <x v="5"/>
    <s v="Miller  Robert"/>
    <n v="8"/>
    <x v="3"/>
    <n v="0.08"/>
  </r>
  <r>
    <x v="70"/>
    <s v="William"/>
    <s v="Garcia"/>
    <x v="4"/>
    <x v="69"/>
    <n v="65235"/>
    <x v="41"/>
    <x v="0"/>
    <x v="4"/>
    <s v="Garcia  William"/>
    <n v="11"/>
    <x v="4"/>
    <n v="0.12"/>
  </r>
  <r>
    <x v="71"/>
    <s v="John"/>
    <s v="Gonzalez"/>
    <x v="4"/>
    <x v="70"/>
    <n v="83126"/>
    <x v="23"/>
    <x v="1"/>
    <x v="4"/>
    <s v="Gonzalez  John"/>
    <n v="8"/>
    <x v="1"/>
    <n v="0.05"/>
  </r>
  <r>
    <x v="72"/>
    <s v="James"/>
    <s v="Gonzalez"/>
    <x v="4"/>
    <x v="71"/>
    <n v="83126"/>
    <x v="42"/>
    <x v="1"/>
    <x v="4"/>
    <s v="Gonzalez  James"/>
    <n v="3"/>
    <x v="0"/>
    <n v="0.02"/>
  </r>
  <r>
    <x v="73"/>
    <s v="Jane"/>
    <s v="Gonzalez"/>
    <x v="4"/>
    <x v="72"/>
    <n v="83126"/>
    <x v="43"/>
    <x v="0"/>
    <x v="4"/>
    <s v="Gonzalez  Jane"/>
    <n v="10"/>
    <x v="0"/>
    <n v="0.02"/>
  </r>
  <r>
    <x v="74"/>
    <s v="David"/>
    <s v="Wilson"/>
    <x v="3"/>
    <x v="73"/>
    <n v="48823"/>
    <x v="44"/>
    <x v="0"/>
    <x v="3"/>
    <s v="Wilson  David"/>
    <n v="9"/>
    <x v="2"/>
    <n v="0"/>
  </r>
  <r>
    <x v="75"/>
    <s v="Jane"/>
    <s v="Gonzalez"/>
    <x v="2"/>
    <x v="74"/>
    <n v="45196"/>
    <x v="24"/>
    <x v="1"/>
    <x v="2"/>
    <s v="Gonzalez  Jane"/>
    <n v="7"/>
    <x v="1"/>
    <n v="0.05"/>
  </r>
  <r>
    <x v="76"/>
    <s v="Jane"/>
    <s v="Rodriguez"/>
    <x v="0"/>
    <x v="75"/>
    <n v="86246"/>
    <x v="45"/>
    <x v="0"/>
    <x v="0"/>
    <s v="Rodriguez  Jane"/>
    <n v="9"/>
    <x v="0"/>
    <n v="0.02"/>
  </r>
  <r>
    <x v="77"/>
    <s v="Emily"/>
    <s v="Miller"/>
    <x v="4"/>
    <x v="76"/>
    <n v="70359"/>
    <x v="46"/>
    <x v="1"/>
    <x v="4"/>
    <s v="Miller  Emily"/>
    <n v="4"/>
    <x v="1"/>
    <n v="0.05"/>
  </r>
  <r>
    <x v="78"/>
    <s v="Sarah"/>
    <s v="Miller"/>
    <x v="1"/>
    <x v="77"/>
    <n v="83582"/>
    <x v="47"/>
    <x v="0"/>
    <x v="1"/>
    <s v="Miller  Sarah"/>
    <n v="7"/>
    <x v="3"/>
    <n v="0.08"/>
  </r>
  <r>
    <x v="79"/>
    <s v="Jessica"/>
    <s v="Garcia"/>
    <x v="3"/>
    <x v="78"/>
    <n v="86480"/>
    <x v="1"/>
    <x v="0"/>
    <x v="3"/>
    <s v="Garcia  Jessica"/>
    <n v="10"/>
    <x v="0"/>
    <n v="0.02"/>
  </r>
  <r>
    <x v="80"/>
    <s v="Richard"/>
    <s v="Smith"/>
    <x v="5"/>
    <x v="79"/>
    <n v="47694"/>
    <x v="14"/>
    <x v="0"/>
    <x v="5"/>
    <s v="Smith  Richard"/>
    <n v="7"/>
    <x v="1"/>
    <n v="0.05"/>
  </r>
  <r>
    <x v="81"/>
    <s v="Melissa"/>
    <s v="Wilson"/>
    <x v="0"/>
    <x v="80"/>
    <n v="83724"/>
    <x v="48"/>
    <x v="2"/>
    <x v="0"/>
    <s v="Wilson  Melissa"/>
    <n v="2"/>
    <x v="1"/>
    <n v="0.05"/>
  </r>
  <r>
    <x v="82"/>
    <s v="Thomas"/>
    <s v="Williams"/>
    <x v="2"/>
    <x v="81"/>
    <n v="98299"/>
    <x v="45"/>
    <x v="0"/>
    <x v="2"/>
    <s v="Williams  Thomas"/>
    <n v="3"/>
    <x v="0"/>
    <n v="0.02"/>
  </r>
  <r>
    <x v="83"/>
    <s v="David"/>
    <s v="Williams"/>
    <x v="2"/>
    <x v="82"/>
    <n v="83454"/>
    <x v="1"/>
    <x v="0"/>
    <x v="2"/>
    <s v="Williams  David"/>
    <n v="5"/>
    <x v="0"/>
    <n v="0.02"/>
  </r>
  <r>
    <x v="84"/>
    <s v="John"/>
    <s v="Johnson"/>
    <x v="0"/>
    <x v="83"/>
    <n v="52287"/>
    <x v="3"/>
    <x v="0"/>
    <x v="0"/>
    <s v="Johnson  John"/>
    <n v="2"/>
    <x v="1"/>
    <n v="0.05"/>
  </r>
  <r>
    <x v="85"/>
    <s v="Richard"/>
    <s v="Gonzalez"/>
    <x v="0"/>
    <x v="84"/>
    <n v="82633"/>
    <x v="26"/>
    <x v="0"/>
    <x v="0"/>
    <s v="Gonzalez  Richard"/>
    <n v="5"/>
    <x v="4"/>
    <n v="0.12"/>
  </r>
  <r>
    <x v="86"/>
    <s v="Melissa"/>
    <s v="Anderson"/>
    <x v="3"/>
    <x v="85"/>
    <n v="46508"/>
    <x v="44"/>
    <x v="0"/>
    <x v="3"/>
    <s v="Anderson  Melissa"/>
    <n v="4"/>
    <x v="2"/>
    <n v="0"/>
  </r>
  <r>
    <x v="87"/>
    <s v="Emily"/>
    <s v="Gonzalez"/>
    <x v="5"/>
    <x v="86"/>
    <n v="86232"/>
    <x v="13"/>
    <x v="0"/>
    <x v="5"/>
    <s v="Gonzalez  Emily"/>
    <n v="6"/>
    <x v="3"/>
    <n v="0.08"/>
  </r>
  <r>
    <x v="88"/>
    <s v="Jane"/>
    <s v="Davis"/>
    <x v="0"/>
    <x v="87"/>
    <n v="77545"/>
    <x v="10"/>
    <x v="0"/>
    <x v="0"/>
    <s v="Davis  Jane"/>
    <n v="9"/>
    <x v="2"/>
    <n v="0"/>
  </r>
  <r>
    <x v="89"/>
    <s v="William"/>
    <s v="Gonzalez"/>
    <x v="3"/>
    <x v="88"/>
    <n v="68683"/>
    <x v="20"/>
    <x v="0"/>
    <x v="3"/>
    <s v="Gonzalez  William"/>
    <n v="7"/>
    <x v="3"/>
    <n v="0.08"/>
  </r>
  <r>
    <x v="90"/>
    <s v="Thomas"/>
    <s v="Jones"/>
    <x v="2"/>
    <x v="89"/>
    <n v="83932"/>
    <x v="49"/>
    <x v="1"/>
    <x v="2"/>
    <s v="Jones  Thomas"/>
    <n v="7"/>
    <x v="0"/>
    <n v="0.02"/>
  </r>
  <r>
    <x v="91"/>
    <s v="Jessica"/>
    <s v="Anderson"/>
    <x v="5"/>
    <x v="90"/>
    <n v="56073"/>
    <x v="7"/>
    <x v="0"/>
    <x v="5"/>
    <s v="Anderson  Jessica"/>
    <n v="10"/>
    <x v="1"/>
    <n v="0.05"/>
  </r>
  <r>
    <x v="92"/>
    <s v="Melissa"/>
    <s v="Johnson"/>
    <x v="0"/>
    <x v="91"/>
    <n v="88056"/>
    <x v="21"/>
    <x v="0"/>
    <x v="0"/>
    <s v="Johnson  Melissa"/>
    <n v="8"/>
    <x v="0"/>
    <n v="0.02"/>
  </r>
  <r>
    <x v="93"/>
    <s v="Thomas"/>
    <s v="Miller"/>
    <x v="3"/>
    <x v="92"/>
    <n v="67414"/>
    <x v="30"/>
    <x v="1"/>
    <x v="3"/>
    <s v="Miller  Thomas"/>
    <n v="8"/>
    <x v="1"/>
    <n v="0.05"/>
  </r>
  <r>
    <x v="94"/>
    <s v="William"/>
    <s v="Gonzalez"/>
    <x v="4"/>
    <x v="93"/>
    <n v="115288"/>
    <x v="45"/>
    <x v="0"/>
    <x v="4"/>
    <s v="Gonzalez  William"/>
    <n v="11"/>
    <x v="0"/>
    <n v="0.02"/>
  </r>
  <r>
    <x v="95"/>
    <s v="William"/>
    <s v="Smith"/>
    <x v="4"/>
    <x v="94"/>
    <n v="80140"/>
    <x v="8"/>
    <x v="0"/>
    <x v="4"/>
    <s v="Smith  William"/>
    <n v="7"/>
    <x v="0"/>
    <n v="0.02"/>
  </r>
  <r>
    <x v="96"/>
    <s v="John"/>
    <s v="Johnson"/>
    <x v="0"/>
    <x v="95"/>
    <n v="73087"/>
    <x v="50"/>
    <x v="0"/>
    <x v="0"/>
    <s v="Johnson  John"/>
    <n v="4"/>
    <x v="0"/>
    <n v="0.02"/>
  </r>
  <r>
    <x v="97"/>
    <s v="Jane"/>
    <s v="Johnson"/>
    <x v="4"/>
    <x v="96"/>
    <n v="95292"/>
    <x v="44"/>
    <x v="0"/>
    <x v="4"/>
    <s v="Johnson  Jane"/>
    <n v="5"/>
    <x v="2"/>
    <n v="0"/>
  </r>
  <r>
    <x v="98"/>
    <s v="John"/>
    <s v="Jones"/>
    <x v="0"/>
    <x v="97"/>
    <n v="83604"/>
    <x v="35"/>
    <x v="0"/>
    <x v="0"/>
    <s v="Jones  John"/>
    <n v="7"/>
    <x v="2"/>
    <n v="0"/>
  </r>
  <r>
    <x v="99"/>
    <s v="Jane"/>
    <s v="Lopez"/>
    <x v="1"/>
    <x v="98"/>
    <n v="101750"/>
    <x v="30"/>
    <x v="1"/>
    <x v="1"/>
    <s v="Lopez  Jane"/>
    <n v="11"/>
    <x v="1"/>
    <n v="0.05"/>
  </r>
  <r>
    <x v="100"/>
    <s v="Melissa"/>
    <s v="Gonzalez"/>
    <x v="1"/>
    <x v="75"/>
    <n v="82992"/>
    <x v="7"/>
    <x v="0"/>
    <x v="1"/>
    <s v="Gonzalez  Melissa"/>
    <n v="9"/>
    <x v="1"/>
    <n v="0.05"/>
  </r>
  <r>
    <x v="101"/>
    <s v="William"/>
    <s v="Davis"/>
    <x v="0"/>
    <x v="99"/>
    <n v="49942"/>
    <x v="51"/>
    <x v="0"/>
    <x v="0"/>
    <s v="Davis  William"/>
    <n v="3"/>
    <x v="0"/>
    <n v="0.02"/>
  </r>
  <r>
    <x v="102"/>
    <s v="John"/>
    <s v="Smith"/>
    <x v="3"/>
    <x v="100"/>
    <n v="89060"/>
    <x v="8"/>
    <x v="0"/>
    <x v="3"/>
    <s v="Smith  John"/>
    <n v="8"/>
    <x v="0"/>
    <n v="0.02"/>
  </r>
  <r>
    <x v="103"/>
    <s v="James"/>
    <s v="Gonzalez"/>
    <x v="0"/>
    <x v="101"/>
    <n v="53786"/>
    <x v="26"/>
    <x v="0"/>
    <x v="0"/>
    <s v="Gonzalez  James"/>
    <n v="6"/>
    <x v="4"/>
    <n v="0.12"/>
  </r>
  <r>
    <x v="104"/>
    <s v="Emily"/>
    <s v="Johnson"/>
    <x v="3"/>
    <x v="102"/>
    <n v="81167"/>
    <x v="1"/>
    <x v="0"/>
    <x v="3"/>
    <s v="Johnson  Emily"/>
    <n v="10"/>
    <x v="0"/>
    <n v="0.02"/>
  </r>
  <r>
    <x v="105"/>
    <s v="William"/>
    <s v="Williams"/>
    <x v="1"/>
    <x v="103"/>
    <n v="66688"/>
    <x v="4"/>
    <x v="1"/>
    <x v="1"/>
    <s v="Williams  William"/>
    <n v="5"/>
    <x v="2"/>
    <n v="0"/>
  </r>
  <r>
    <x v="106"/>
    <s v="James"/>
    <s v="Jones"/>
    <x v="0"/>
    <x v="104"/>
    <n v="91672"/>
    <x v="16"/>
    <x v="0"/>
    <x v="0"/>
    <s v="Jones  James"/>
    <n v="4"/>
    <x v="3"/>
    <n v="0.08"/>
  </r>
  <r>
    <x v="107"/>
    <s v="Jessica"/>
    <s v="Gonzalez"/>
    <x v="5"/>
    <x v="105"/>
    <n v="77737"/>
    <x v="11"/>
    <x v="0"/>
    <x v="5"/>
    <s v="Gonzalez  Jessica"/>
    <n v="9"/>
    <x v="1"/>
    <n v="0.05"/>
  </r>
  <r>
    <x v="108"/>
    <s v="Sarah"/>
    <s v="Miller"/>
    <x v="4"/>
    <x v="106"/>
    <n v="95686"/>
    <x v="36"/>
    <x v="0"/>
    <x v="4"/>
    <s v="Miller  Sarah"/>
    <n v="7"/>
    <x v="3"/>
    <n v="0.08"/>
  </r>
  <r>
    <x v="109"/>
    <s v="Jessica"/>
    <s v="Smith"/>
    <x v="4"/>
    <x v="107"/>
    <n v="114681"/>
    <x v="40"/>
    <x v="0"/>
    <x v="4"/>
    <s v="Smith  Jessica"/>
    <n v="9"/>
    <x v="2"/>
    <n v="0"/>
  </r>
  <r>
    <x v="110"/>
    <s v="Thomas"/>
    <s v="Jones"/>
    <x v="3"/>
    <x v="108"/>
    <n v="109121"/>
    <x v="23"/>
    <x v="0"/>
    <x v="3"/>
    <s v="Jones  Thomas"/>
    <n v="4"/>
    <x v="1"/>
    <n v="0.05"/>
  </r>
  <r>
    <x v="111"/>
    <s v="Amanda"/>
    <s v="Brown"/>
    <x v="1"/>
    <x v="109"/>
    <n v="112791"/>
    <x v="39"/>
    <x v="0"/>
    <x v="1"/>
    <s v="Brown  Amanda"/>
    <n v="6"/>
    <x v="3"/>
    <n v="0.08"/>
  </r>
  <r>
    <x v="112"/>
    <s v="Robert"/>
    <s v="Martinez"/>
    <x v="0"/>
    <x v="110"/>
    <n v="118008"/>
    <x v="27"/>
    <x v="0"/>
    <x v="0"/>
    <s v="Martinez  Robert"/>
    <n v="4"/>
    <x v="1"/>
    <n v="0.05"/>
  </r>
  <r>
    <x v="113"/>
    <s v="Thomas"/>
    <s v="Miller"/>
    <x v="0"/>
    <x v="111"/>
    <n v="74370"/>
    <x v="52"/>
    <x v="0"/>
    <x v="0"/>
    <s v="Miller  Thomas"/>
    <n v="10"/>
    <x v="1"/>
    <n v="0.05"/>
  </r>
  <r>
    <x v="114"/>
    <s v="David"/>
    <s v="Rodriguez"/>
    <x v="0"/>
    <x v="112"/>
    <n v="77819"/>
    <x v="7"/>
    <x v="0"/>
    <x v="0"/>
    <s v="Rodriguez  David"/>
    <n v="4"/>
    <x v="1"/>
    <n v="0.05"/>
  </r>
  <r>
    <x v="115"/>
    <s v="Jane"/>
    <s v="Miller"/>
    <x v="1"/>
    <x v="113"/>
    <n v="48748"/>
    <x v="53"/>
    <x v="0"/>
    <x v="1"/>
    <s v="Miller  Jane"/>
    <n v="9"/>
    <x v="1"/>
    <n v="0.05"/>
  </r>
  <r>
    <x v="116"/>
    <s v="James"/>
    <s v="Rodriguez"/>
    <x v="3"/>
    <x v="114"/>
    <n v="101997"/>
    <x v="54"/>
    <x v="2"/>
    <x v="3"/>
    <s v="Rodriguez  James"/>
    <n v="6"/>
    <x v="2"/>
    <n v="0"/>
  </r>
  <r>
    <x v="117"/>
    <s v="Sarah"/>
    <s v="Rodriguez"/>
    <x v="5"/>
    <x v="115"/>
    <n v="115260"/>
    <x v="11"/>
    <x v="0"/>
    <x v="5"/>
    <s v="Rodriguez  Sarah"/>
    <n v="3"/>
    <x v="1"/>
    <n v="0.05"/>
  </r>
  <r>
    <x v="118"/>
    <s v="Sarah"/>
    <s v="Wilson"/>
    <x v="4"/>
    <x v="116"/>
    <n v="83126"/>
    <x v="5"/>
    <x v="0"/>
    <x v="4"/>
    <s v="Wilson  Sarah"/>
    <n v="4"/>
    <x v="2"/>
    <n v="0"/>
  </r>
  <r>
    <x v="119"/>
    <s v="Melissa"/>
    <s v="Brown"/>
    <x v="0"/>
    <x v="117"/>
    <n v="83594"/>
    <x v="50"/>
    <x v="1"/>
    <x v="0"/>
    <s v="Brown  Melissa"/>
    <n v="4"/>
    <x v="0"/>
    <n v="0.02"/>
  </r>
  <r>
    <x v="120"/>
    <s v="Robert"/>
    <s v="Williams"/>
    <x v="4"/>
    <x v="118"/>
    <n v="83126"/>
    <x v="29"/>
    <x v="0"/>
    <x v="4"/>
    <s v="Williams  Robert"/>
    <n v="8"/>
    <x v="1"/>
    <n v="0.05"/>
  </r>
  <r>
    <x v="121"/>
    <s v="Melissa"/>
    <s v="Rodriguez"/>
    <x v="3"/>
    <x v="119"/>
    <n v="60623"/>
    <x v="24"/>
    <x v="0"/>
    <x v="3"/>
    <s v="Rodriguez  Melissa"/>
    <n v="3"/>
    <x v="1"/>
    <n v="0.05"/>
  </r>
  <r>
    <x v="122"/>
    <s v="James"/>
    <s v="Johnson"/>
    <x v="5"/>
    <x v="120"/>
    <n v="68092"/>
    <x v="13"/>
    <x v="0"/>
    <x v="5"/>
    <s v="Johnson  James"/>
    <n v="5"/>
    <x v="3"/>
    <n v="0.08"/>
  </r>
  <r>
    <x v="123"/>
    <s v="Michael"/>
    <s v="Wilson"/>
    <x v="1"/>
    <x v="121"/>
    <n v="88155"/>
    <x v="1"/>
    <x v="0"/>
    <x v="1"/>
    <s v="Wilson  Michael"/>
    <n v="4"/>
    <x v="0"/>
    <n v="0.02"/>
  </r>
  <r>
    <x v="124"/>
    <s v="William"/>
    <s v="Jones"/>
    <x v="1"/>
    <x v="122"/>
    <n v="107903"/>
    <x v="12"/>
    <x v="0"/>
    <x v="1"/>
    <s v="Jones  William"/>
    <n v="8"/>
    <x v="2"/>
    <n v="0"/>
  </r>
  <r>
    <x v="125"/>
    <s v="William"/>
    <s v="Williams"/>
    <x v="0"/>
    <x v="123"/>
    <n v="62818"/>
    <x v="44"/>
    <x v="0"/>
    <x v="0"/>
    <s v="Williams  William"/>
    <n v="7"/>
    <x v="2"/>
    <n v="0"/>
  </r>
  <r>
    <x v="126"/>
    <s v="David"/>
    <s v="Williams"/>
    <x v="5"/>
    <x v="124"/>
    <n v="85151"/>
    <x v="55"/>
    <x v="0"/>
    <x v="5"/>
    <s v="Williams  David"/>
    <n v="7"/>
    <x v="2"/>
    <n v="0"/>
  </r>
  <r>
    <x v="127"/>
    <s v="Jane"/>
    <s v="Davis"/>
    <x v="2"/>
    <x v="125"/>
    <n v="46390"/>
    <x v="34"/>
    <x v="0"/>
    <x v="2"/>
    <s v="Davis  Jane"/>
    <n v="10"/>
    <x v="4"/>
    <n v="0.12"/>
  </r>
  <r>
    <x v="128"/>
    <s v="John"/>
    <s v="Martinez"/>
    <x v="5"/>
    <x v="126"/>
    <n v="111920"/>
    <x v="20"/>
    <x v="1"/>
    <x v="5"/>
    <s v="Martinez  John"/>
    <n v="4"/>
    <x v="3"/>
    <n v="0.08"/>
  </r>
  <r>
    <x v="129"/>
    <s v="David"/>
    <s v="Anderson"/>
    <x v="5"/>
    <x v="127"/>
    <n v="115618"/>
    <x v="12"/>
    <x v="0"/>
    <x v="5"/>
    <s v="Anderson  David"/>
    <n v="8"/>
    <x v="2"/>
    <n v="0"/>
  </r>
  <r>
    <x v="130"/>
    <s v="Sarah"/>
    <s v="Smith"/>
    <x v="4"/>
    <x v="128"/>
    <n v="110618"/>
    <x v="16"/>
    <x v="2"/>
    <x v="4"/>
    <s v="Smith  Sarah"/>
    <n v="3"/>
    <x v="3"/>
    <n v="0.08"/>
  </r>
  <r>
    <x v="131"/>
    <s v="Melissa"/>
    <s v="Hernandez"/>
    <x v="3"/>
    <x v="129"/>
    <n v="108395"/>
    <x v="24"/>
    <x v="1"/>
    <x v="3"/>
    <s v="Hernandez  Melissa"/>
    <n v="4"/>
    <x v="1"/>
    <n v="0.05"/>
  </r>
  <r>
    <x v="132"/>
    <s v="Melissa"/>
    <s v="Johnson"/>
    <x v="2"/>
    <x v="130"/>
    <n v="88005"/>
    <x v="50"/>
    <x v="0"/>
    <x v="2"/>
    <s v="Johnson  Melissa"/>
    <n v="8"/>
    <x v="0"/>
    <n v="0.02"/>
  </r>
  <r>
    <x v="133"/>
    <s v="Jane"/>
    <s v="Garcia"/>
    <x v="1"/>
    <x v="46"/>
    <n v="83007"/>
    <x v="52"/>
    <x v="0"/>
    <x v="1"/>
    <s v="Garcia  Jane"/>
    <n v="4"/>
    <x v="1"/>
    <n v="0.05"/>
  </r>
  <r>
    <x v="134"/>
    <s v="David"/>
    <s v="Davis"/>
    <x v="0"/>
    <x v="131"/>
    <n v="61547"/>
    <x v="1"/>
    <x v="0"/>
    <x v="0"/>
    <s v="Davis  David"/>
    <n v="7"/>
    <x v="0"/>
    <n v="0.02"/>
  </r>
  <r>
    <x v="135"/>
    <s v="James"/>
    <s v="Wilson"/>
    <x v="4"/>
    <x v="132"/>
    <n v="83126"/>
    <x v="0"/>
    <x v="0"/>
    <x v="4"/>
    <s v="Wilson  James"/>
    <n v="5"/>
    <x v="0"/>
    <n v="0.02"/>
  </r>
  <r>
    <x v="136"/>
    <s v="Richard"/>
    <s v="Johnson"/>
    <x v="3"/>
    <x v="133"/>
    <n v="50399"/>
    <x v="56"/>
    <x v="1"/>
    <x v="3"/>
    <s v="Johnson  Richard"/>
    <n v="8"/>
    <x v="3"/>
    <n v="0.08"/>
  </r>
  <r>
    <x v="137"/>
    <s v="Richard"/>
    <s v="Williams"/>
    <x v="2"/>
    <x v="134"/>
    <n v="83454"/>
    <x v="9"/>
    <x v="0"/>
    <x v="2"/>
    <s v="Williams  Richard"/>
    <n v="10"/>
    <x v="0"/>
    <n v="0.02"/>
  </r>
  <r>
    <x v="138"/>
    <s v="John"/>
    <s v="Hernandez"/>
    <x v="3"/>
    <x v="135"/>
    <n v="52720"/>
    <x v="1"/>
    <x v="0"/>
    <x v="3"/>
    <s v="Hernandez  John"/>
    <n v="8"/>
    <x v="0"/>
    <n v="0.02"/>
  </r>
  <r>
    <x v="139"/>
    <s v="Sarah"/>
    <s v="Gonzalez"/>
    <x v="3"/>
    <x v="136"/>
    <n v="65065"/>
    <x v="26"/>
    <x v="0"/>
    <x v="3"/>
    <s v="Gonzalez  Sarah"/>
    <n v="9"/>
    <x v="4"/>
    <n v="0.12"/>
  </r>
  <r>
    <x v="140"/>
    <s v="Melissa"/>
    <s v="Hernandez"/>
    <x v="4"/>
    <x v="137"/>
    <n v="83126"/>
    <x v="47"/>
    <x v="2"/>
    <x v="4"/>
    <s v="Hernandez  Melissa"/>
    <n v="11"/>
    <x v="3"/>
    <n v="0.08"/>
  </r>
  <r>
    <x v="141"/>
    <s v="Melissa"/>
    <s v="Hernandez"/>
    <x v="3"/>
    <x v="138"/>
    <n v="108119"/>
    <x v="49"/>
    <x v="2"/>
    <x v="3"/>
    <s v="Hernandez  Melissa"/>
    <n v="7"/>
    <x v="0"/>
    <n v="0.02"/>
  </r>
  <r>
    <x v="142"/>
    <s v="John"/>
    <s v="Davis"/>
    <x v="0"/>
    <x v="139"/>
    <n v="83594"/>
    <x v="33"/>
    <x v="0"/>
    <x v="0"/>
    <s v="Davis  John"/>
    <n v="6"/>
    <x v="4"/>
    <n v="0.12"/>
  </r>
  <r>
    <x v="143"/>
    <s v="Richard"/>
    <s v="Davis"/>
    <x v="5"/>
    <x v="140"/>
    <n v="106896"/>
    <x v="0"/>
    <x v="1"/>
    <x v="5"/>
    <s v="Davis  Richard"/>
    <n v="3"/>
    <x v="0"/>
    <n v="0.02"/>
  </r>
  <r>
    <x v="144"/>
    <s v="Richard"/>
    <s v="Jones"/>
    <x v="0"/>
    <x v="141"/>
    <n v="112887"/>
    <x v="19"/>
    <x v="0"/>
    <x v="0"/>
    <s v="Jones  Richard"/>
    <n v="7"/>
    <x v="0"/>
    <n v="0.02"/>
  </r>
  <r>
    <x v="145"/>
    <s v="William"/>
    <s v="Rodriguez"/>
    <x v="2"/>
    <x v="142"/>
    <n v="85457"/>
    <x v="7"/>
    <x v="0"/>
    <x v="2"/>
    <s v="Rodriguez  William"/>
    <n v="3"/>
    <x v="1"/>
    <n v="0.05"/>
  </r>
  <r>
    <x v="146"/>
    <s v="Melissa"/>
    <s v="Miller"/>
    <x v="4"/>
    <x v="143"/>
    <n v="62798"/>
    <x v="25"/>
    <x v="0"/>
    <x v="4"/>
    <s v="Miller  Melissa"/>
    <n v="10"/>
    <x v="2"/>
    <n v="0"/>
  </r>
  <r>
    <x v="147"/>
    <s v="Emily"/>
    <s v="Martinez"/>
    <x v="3"/>
    <x v="144"/>
    <n v="47794"/>
    <x v="57"/>
    <x v="1"/>
    <x v="3"/>
    <s v="Martinez  Emily"/>
    <n v="4"/>
    <x v="1"/>
    <n v="0.05"/>
  </r>
  <r>
    <x v="148"/>
    <s v="James"/>
    <s v="Rodriguez"/>
    <x v="1"/>
    <x v="145"/>
    <n v="93094"/>
    <x v="46"/>
    <x v="0"/>
    <x v="1"/>
    <s v="Rodriguez  James"/>
    <n v="9"/>
    <x v="1"/>
    <n v="0.05"/>
  </r>
  <r>
    <x v="149"/>
    <s v="Amanda"/>
    <s v="Brown"/>
    <x v="0"/>
    <x v="146"/>
    <n v="118634"/>
    <x v="36"/>
    <x v="0"/>
    <x v="0"/>
    <s v="Brown  Amanda"/>
    <n v="3"/>
    <x v="3"/>
    <n v="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6B2151-51DD-4CDA-872E-0FC01CD9B02C}" name="PivotTable3"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89" rowHeaderCaption="Departments">
  <location ref="A3:C10" firstHeaderRow="0" firstDataRow="1" firstDataCol="1"/>
  <pivotFields count="16">
    <pivotField dataField="1" showAll="0">
      <items count="151">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default"/>
      </items>
    </pivotField>
    <pivotField showAll="0"/>
    <pivotField showAll="0"/>
    <pivotField showAll="0">
      <items count="7">
        <item x="2"/>
        <item x="5"/>
        <item x="0"/>
        <item x="1"/>
        <item x="3"/>
        <item x="4"/>
        <item t="default"/>
      </items>
    </pivotField>
    <pivotField numFmtId="165" showAll="0">
      <items count="148">
        <item x="93"/>
        <item x="98"/>
        <item x="61"/>
        <item x="137"/>
        <item x="69"/>
        <item x="29"/>
        <item x="30"/>
        <item x="35"/>
        <item x="72"/>
        <item x="134"/>
        <item x="90"/>
        <item x="78"/>
        <item x="16"/>
        <item x="11"/>
        <item x="2"/>
        <item x="125"/>
        <item x="102"/>
        <item x="143"/>
        <item x="111"/>
        <item x="23"/>
        <item x="19"/>
        <item x="107"/>
        <item x="50"/>
        <item x="44"/>
        <item x="73"/>
        <item x="9"/>
        <item x="145"/>
        <item x="64"/>
        <item x="105"/>
        <item x="47"/>
        <item x="75"/>
        <item x="60"/>
        <item x="65"/>
        <item x="62"/>
        <item x="113"/>
        <item x="87"/>
        <item x="17"/>
        <item x="34"/>
        <item x="136"/>
        <item x="127"/>
        <item x="118"/>
        <item x="39"/>
        <item x="68"/>
        <item x="133"/>
        <item x="20"/>
        <item x="130"/>
        <item x="0"/>
        <item x="8"/>
        <item x="92"/>
        <item x="100"/>
        <item x="56"/>
        <item x="40"/>
        <item x="122"/>
        <item x="28"/>
        <item x="18"/>
        <item x="135"/>
        <item x="91"/>
        <item x="70"/>
        <item x="124"/>
        <item x="123"/>
        <item x="131"/>
        <item x="79"/>
        <item x="88"/>
        <item x="94"/>
        <item x="52"/>
        <item x="141"/>
        <item x="106"/>
        <item x="97"/>
        <item x="42"/>
        <item x="74"/>
        <item x="66"/>
        <item x="77"/>
        <item x="138"/>
        <item x="32"/>
        <item x="89"/>
        <item x="45"/>
        <item x="43"/>
        <item x="26"/>
        <item x="51"/>
        <item x="86"/>
        <item x="14"/>
        <item x="101"/>
        <item x="139"/>
        <item x="5"/>
        <item x="10"/>
        <item x="38"/>
        <item x="41"/>
        <item x="114"/>
        <item x="48"/>
        <item x="109"/>
        <item x="13"/>
        <item x="120"/>
        <item x="84"/>
        <item x="59"/>
        <item x="96"/>
        <item x="55"/>
        <item x="7"/>
        <item x="53"/>
        <item x="82"/>
        <item x="103"/>
        <item x="21"/>
        <item x="12"/>
        <item x="132"/>
        <item x="104"/>
        <item x="67"/>
        <item x="108"/>
        <item x="85"/>
        <item x="46"/>
        <item x="76"/>
        <item x="95"/>
        <item x="117"/>
        <item x="116"/>
        <item x="33"/>
        <item x="49"/>
        <item x="129"/>
        <item x="126"/>
        <item x="121"/>
        <item x="1"/>
        <item x="112"/>
        <item x="144"/>
        <item x="24"/>
        <item x="37"/>
        <item x="110"/>
        <item x="81"/>
        <item x="27"/>
        <item x="36"/>
        <item x="22"/>
        <item x="71"/>
        <item x="63"/>
        <item x="146"/>
        <item x="119"/>
        <item x="4"/>
        <item x="140"/>
        <item x="115"/>
        <item x="142"/>
        <item x="99"/>
        <item x="128"/>
        <item x="3"/>
        <item x="54"/>
        <item x="25"/>
        <item x="15"/>
        <item x="80"/>
        <item x="31"/>
        <item x="83"/>
        <item x="58"/>
        <item x="57"/>
        <item x="6"/>
        <item t="default"/>
      </items>
    </pivotField>
    <pivotField dataField="1" numFmtId="164" showAll="0"/>
    <pivotField showAll="0"/>
    <pivotField showAll="0">
      <items count="4">
        <item x="0"/>
        <item x="1"/>
        <item x="2"/>
        <item t="default"/>
      </items>
    </pivotField>
    <pivotField axis="axisRow" showAll="0" sortType="ascending">
      <items count="7">
        <item x="2"/>
        <item x="5"/>
        <item x="0"/>
        <item x="1"/>
        <item x="3"/>
        <item x="4"/>
        <item t="default"/>
      </items>
      <autoSortScope>
        <pivotArea dataOnly="0" outline="0" fieldPosition="0">
          <references count="1">
            <reference field="4294967294" count="1" selected="0">
              <x v="1"/>
            </reference>
          </references>
        </pivotArea>
      </autoSortScope>
    </pivotField>
    <pivotField showAll="0"/>
    <pivotField showAll="0"/>
    <pivotField showAll="0">
      <items count="6">
        <item x="1"/>
        <item x="0"/>
        <item x="3"/>
        <item x="2"/>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8"/>
  </rowFields>
  <rowItems count="7">
    <i>
      <x/>
    </i>
    <i>
      <x v="1"/>
    </i>
    <i>
      <x v="3"/>
    </i>
    <i>
      <x v="4"/>
    </i>
    <i>
      <x v="5"/>
    </i>
    <i>
      <x v="2"/>
    </i>
    <i t="grand">
      <x/>
    </i>
  </rowItems>
  <colFields count="1">
    <field x="-2"/>
  </colFields>
  <colItems count="2">
    <i>
      <x/>
    </i>
    <i i="1">
      <x v="1"/>
    </i>
  </colItems>
  <dataFields count="2">
    <dataField name="Average of Salary" fld="5" subtotal="average" baseField="8" baseItem="0" numFmtId="167"/>
    <dataField name="Count of Emp ID" fld="0" subtotal="count" baseField="0" baseItem="0"/>
  </dataFields>
  <formats count="3">
    <format dxfId="17">
      <pivotArea dataOnly="0" labelOnly="1" outline="0" fieldPosition="0">
        <references count="1">
          <reference field="4294967294" count="1">
            <x v="0"/>
          </reference>
        </references>
      </pivotArea>
    </format>
    <format dxfId="16">
      <pivotArea collapsedLevelsAreSubtotals="1" fieldPosition="0">
        <references count="2">
          <reference field="4294967294" count="1" selected="0">
            <x v="0"/>
          </reference>
          <reference field="8" count="0"/>
        </references>
      </pivotArea>
    </format>
    <format dxfId="15">
      <pivotArea outline="0" collapsedLevelsAreSubtotals="1" fieldPosition="0">
        <references count="1">
          <reference field="4294967294" count="1" selected="0">
            <x v="0"/>
          </reference>
        </references>
      </pivotArea>
    </format>
  </formats>
  <chartFormats count="20">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 chart="53" format="7">
      <pivotArea type="data" outline="0" fieldPosition="0">
        <references count="2">
          <reference field="4294967294" count="1" selected="0">
            <x v="0"/>
          </reference>
          <reference field="8" count="1" selected="0">
            <x v="0"/>
          </reference>
        </references>
      </pivotArea>
    </chartFormat>
    <chartFormat chart="53" format="8">
      <pivotArea type="data" outline="0" fieldPosition="0">
        <references count="2">
          <reference field="4294967294" count="1" selected="0">
            <x v="0"/>
          </reference>
          <reference field="8" count="1" selected="0">
            <x v="1"/>
          </reference>
        </references>
      </pivotArea>
    </chartFormat>
    <chartFormat chart="53" format="9">
      <pivotArea type="data" outline="0" fieldPosition="0">
        <references count="2">
          <reference field="4294967294" count="1" selected="0">
            <x v="0"/>
          </reference>
          <reference field="8" count="1" selected="0">
            <x v="3"/>
          </reference>
        </references>
      </pivotArea>
    </chartFormat>
    <chartFormat chart="53" format="10">
      <pivotArea type="data" outline="0" fieldPosition="0">
        <references count="2">
          <reference field="4294967294" count="1" selected="0">
            <x v="0"/>
          </reference>
          <reference field="8" count="1" selected="0">
            <x v="4"/>
          </reference>
        </references>
      </pivotArea>
    </chartFormat>
    <chartFormat chart="53" format="11">
      <pivotArea type="data" outline="0" fieldPosition="0">
        <references count="2">
          <reference field="4294967294" count="1" selected="0">
            <x v="0"/>
          </reference>
          <reference field="8" count="1" selected="0">
            <x v="5"/>
          </reference>
        </references>
      </pivotArea>
    </chartFormat>
    <chartFormat chart="53" format="12">
      <pivotArea type="data" outline="0" fieldPosition="0">
        <references count="2">
          <reference field="4294967294" count="1" selected="0">
            <x v="0"/>
          </reference>
          <reference field="8" count="1" selected="0">
            <x v="2"/>
          </reference>
        </references>
      </pivotArea>
    </chartFormat>
    <chartFormat chart="76" format="4" series="1">
      <pivotArea type="data" outline="0" fieldPosition="0">
        <references count="1">
          <reference field="4294967294" count="1" selected="0">
            <x v="0"/>
          </reference>
        </references>
      </pivotArea>
    </chartFormat>
    <chartFormat chart="76" format="5" series="1">
      <pivotArea type="data" outline="0" fieldPosition="0">
        <references count="1">
          <reference field="4294967294" count="1" selected="0">
            <x v="1"/>
          </reference>
        </references>
      </pivotArea>
    </chartFormat>
    <chartFormat chart="81" format="8" series="1">
      <pivotArea type="data" outline="0" fieldPosition="0">
        <references count="1">
          <reference field="4294967294" count="1" selected="0">
            <x v="0"/>
          </reference>
        </references>
      </pivotArea>
    </chartFormat>
    <chartFormat chart="8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0749A0-CABD-4E74-AC6C-D43C839A4801}"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1" rowHeaderCaption="Performance Band">
  <location ref="A16:B21" firstHeaderRow="1" firstDataRow="1" firstDataCol="1"/>
  <pivotFields count="16">
    <pivotField showAll="0"/>
    <pivotField showAll="0"/>
    <pivotField showAll="0"/>
    <pivotField showAll="0">
      <items count="7">
        <item x="2"/>
        <item x="5"/>
        <item x="0"/>
        <item x="1"/>
        <item x="3"/>
        <item x="4"/>
        <item t="default"/>
      </items>
    </pivotField>
    <pivotField numFmtId="165" showAll="0">
      <items count="148">
        <item x="93"/>
        <item x="98"/>
        <item x="61"/>
        <item x="137"/>
        <item x="69"/>
        <item x="29"/>
        <item x="30"/>
        <item x="35"/>
        <item x="72"/>
        <item x="134"/>
        <item x="90"/>
        <item x="78"/>
        <item x="16"/>
        <item x="11"/>
        <item x="2"/>
        <item x="125"/>
        <item x="102"/>
        <item x="143"/>
        <item x="111"/>
        <item x="23"/>
        <item x="19"/>
        <item x="107"/>
        <item x="50"/>
        <item x="44"/>
        <item x="73"/>
        <item x="9"/>
        <item x="145"/>
        <item x="64"/>
        <item x="105"/>
        <item x="47"/>
        <item x="75"/>
        <item x="60"/>
        <item x="65"/>
        <item x="62"/>
        <item x="113"/>
        <item x="87"/>
        <item x="17"/>
        <item x="34"/>
        <item x="136"/>
        <item x="127"/>
        <item x="118"/>
        <item x="39"/>
        <item x="68"/>
        <item x="133"/>
        <item x="20"/>
        <item x="130"/>
        <item x="0"/>
        <item x="8"/>
        <item x="92"/>
        <item x="100"/>
        <item x="56"/>
        <item x="40"/>
        <item x="122"/>
        <item x="28"/>
        <item x="18"/>
        <item x="135"/>
        <item x="91"/>
        <item x="70"/>
        <item x="124"/>
        <item x="123"/>
        <item x="131"/>
        <item x="79"/>
        <item x="88"/>
        <item x="94"/>
        <item x="52"/>
        <item x="141"/>
        <item x="106"/>
        <item x="97"/>
        <item x="42"/>
        <item x="74"/>
        <item x="66"/>
        <item x="77"/>
        <item x="138"/>
        <item x="32"/>
        <item x="89"/>
        <item x="45"/>
        <item x="43"/>
        <item x="26"/>
        <item x="51"/>
        <item x="86"/>
        <item x="14"/>
        <item x="101"/>
        <item x="139"/>
        <item x="5"/>
        <item x="10"/>
        <item x="38"/>
        <item x="41"/>
        <item x="114"/>
        <item x="48"/>
        <item x="109"/>
        <item x="13"/>
        <item x="120"/>
        <item x="84"/>
        <item x="59"/>
        <item x="96"/>
        <item x="55"/>
        <item x="7"/>
        <item x="53"/>
        <item x="82"/>
        <item x="103"/>
        <item x="21"/>
        <item x="12"/>
        <item x="132"/>
        <item x="104"/>
        <item x="67"/>
        <item x="108"/>
        <item x="85"/>
        <item x="46"/>
        <item x="76"/>
        <item x="95"/>
        <item x="117"/>
        <item x="116"/>
        <item x="33"/>
        <item x="49"/>
        <item x="129"/>
        <item x="126"/>
        <item x="121"/>
        <item x="1"/>
        <item x="112"/>
        <item x="144"/>
        <item x="24"/>
        <item x="37"/>
        <item x="110"/>
        <item x="81"/>
        <item x="27"/>
        <item x="36"/>
        <item x="22"/>
        <item x="71"/>
        <item x="63"/>
        <item x="146"/>
        <item x="119"/>
        <item x="4"/>
        <item x="140"/>
        <item x="115"/>
        <item x="142"/>
        <item x="99"/>
        <item x="128"/>
        <item x="3"/>
        <item x="54"/>
        <item x="25"/>
        <item x="15"/>
        <item x="80"/>
        <item x="31"/>
        <item x="83"/>
        <item x="58"/>
        <item x="57"/>
        <item x="6"/>
        <item t="default"/>
      </items>
    </pivotField>
    <pivotField numFmtId="164" showAll="0"/>
    <pivotField showAll="0">
      <items count="59">
        <item x="25"/>
        <item x="18"/>
        <item x="35"/>
        <item x="44"/>
        <item x="55"/>
        <item x="40"/>
        <item x="54"/>
        <item x="4"/>
        <item x="12"/>
        <item x="6"/>
        <item x="37"/>
        <item x="10"/>
        <item x="5"/>
        <item x="15"/>
        <item x="51"/>
        <item x="0"/>
        <item x="31"/>
        <item x="2"/>
        <item x="28"/>
        <item x="49"/>
        <item x="8"/>
        <item x="19"/>
        <item x="45"/>
        <item x="9"/>
        <item x="32"/>
        <item x="17"/>
        <item x="42"/>
        <item x="21"/>
        <item x="43"/>
        <item x="1"/>
        <item x="50"/>
        <item x="3"/>
        <item x="27"/>
        <item x="23"/>
        <item x="57"/>
        <item x="46"/>
        <item x="14"/>
        <item x="29"/>
        <item x="11"/>
        <item x="24"/>
        <item x="7"/>
        <item x="22"/>
        <item x="48"/>
        <item x="52"/>
        <item x="53"/>
        <item x="30"/>
        <item x="39"/>
        <item x="16"/>
        <item x="20"/>
        <item x="36"/>
        <item x="56"/>
        <item x="13"/>
        <item x="47"/>
        <item x="34"/>
        <item x="33"/>
        <item x="41"/>
        <item x="26"/>
        <item x="38"/>
        <item t="default"/>
      </items>
    </pivotField>
    <pivotField showAll="0">
      <items count="4">
        <item x="0"/>
        <item x="1"/>
        <item x="2"/>
        <item t="default"/>
      </items>
    </pivotField>
    <pivotField showAll="0"/>
    <pivotField showAll="0"/>
    <pivotField showAll="0"/>
    <pivotField axis="axisRow" showAll="0" sortType="descending">
      <items count="6">
        <item x="1"/>
        <item x="0"/>
        <item x="3"/>
        <item x="2"/>
        <item x="4"/>
        <item t="default"/>
      </items>
      <autoSortScope>
        <pivotArea dataOnly="0" outline="0" fieldPosition="0">
          <references count="1">
            <reference field="4294967294" count="1" selected="0">
              <x v="0"/>
            </reference>
          </references>
        </pivotArea>
      </autoSortScope>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Fields count="1">
    <field x="11"/>
  </rowFields>
  <rowItems count="5">
    <i>
      <x/>
    </i>
    <i>
      <x v="2"/>
    </i>
    <i>
      <x v="4"/>
    </i>
    <i>
      <x v="1"/>
    </i>
    <i>
      <x v="3"/>
    </i>
  </rowItems>
  <colItems count="1">
    <i/>
  </colItems>
  <dataFields count="1">
    <dataField name="Sum of Bonus" fld="12" baseField="11" baseItem="0"/>
  </dataFields>
  <chartFormats count="23">
    <chartFormat chart="6"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1" count="1" selected="0">
            <x v="0"/>
          </reference>
        </references>
      </pivotArea>
    </chartFormat>
    <chartFormat chart="11" format="4">
      <pivotArea type="data" outline="0" fieldPosition="0">
        <references count="2">
          <reference field="4294967294" count="1" selected="0">
            <x v="0"/>
          </reference>
          <reference field="11" count="1" selected="0">
            <x v="1"/>
          </reference>
        </references>
      </pivotArea>
    </chartFormat>
    <chartFormat chart="11" format="5">
      <pivotArea type="data" outline="0" fieldPosition="0">
        <references count="2">
          <reference field="4294967294" count="1" selected="0">
            <x v="0"/>
          </reference>
          <reference field="11" count="1" selected="0">
            <x v="2"/>
          </reference>
        </references>
      </pivotArea>
    </chartFormat>
    <chartFormat chart="11" format="6">
      <pivotArea type="data" outline="0" fieldPosition="0">
        <references count="2">
          <reference field="4294967294" count="1" selected="0">
            <x v="0"/>
          </reference>
          <reference field="11" count="1" selected="0">
            <x v="4"/>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11" count="1" selected="0">
            <x v="0"/>
          </reference>
        </references>
      </pivotArea>
    </chartFormat>
    <chartFormat chart="15" format="9">
      <pivotArea type="data" outline="0" fieldPosition="0">
        <references count="2">
          <reference field="4294967294" count="1" selected="0">
            <x v="0"/>
          </reference>
          <reference field="11" count="1" selected="0">
            <x v="2"/>
          </reference>
        </references>
      </pivotArea>
    </chartFormat>
    <chartFormat chart="15" format="10">
      <pivotArea type="data" outline="0" fieldPosition="0">
        <references count="2">
          <reference field="4294967294" count="1" selected="0">
            <x v="0"/>
          </reference>
          <reference field="11" count="1" selected="0">
            <x v="4"/>
          </reference>
        </references>
      </pivotArea>
    </chartFormat>
    <chartFormat chart="15" format="11">
      <pivotArea type="data" outline="0" fieldPosition="0">
        <references count="2">
          <reference field="4294967294" count="1" selected="0">
            <x v="0"/>
          </reference>
          <reference field="11" count="1" selected="0">
            <x v="1"/>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1" count="1" selected="0">
            <x v="0"/>
          </reference>
        </references>
      </pivotArea>
    </chartFormat>
    <chartFormat chart="16" format="14">
      <pivotArea type="data" outline="0" fieldPosition="0">
        <references count="2">
          <reference field="4294967294" count="1" selected="0">
            <x v="0"/>
          </reference>
          <reference field="11" count="1" selected="0">
            <x v="2"/>
          </reference>
        </references>
      </pivotArea>
    </chartFormat>
    <chartFormat chart="16" format="15">
      <pivotArea type="data" outline="0" fieldPosition="0">
        <references count="2">
          <reference field="4294967294" count="1" selected="0">
            <x v="0"/>
          </reference>
          <reference field="11" count="1" selected="0">
            <x v="4"/>
          </reference>
        </references>
      </pivotArea>
    </chartFormat>
    <chartFormat chart="16" format="16">
      <pivotArea type="data" outline="0" fieldPosition="0">
        <references count="2">
          <reference field="4294967294" count="1" selected="0">
            <x v="0"/>
          </reference>
          <reference field="11" count="1" selected="0">
            <x v="1"/>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1" count="1" selected="0">
            <x v="0"/>
          </reference>
        </references>
      </pivotArea>
    </chartFormat>
    <chartFormat chart="17" format="14">
      <pivotArea type="data" outline="0" fieldPosition="0">
        <references count="2">
          <reference field="4294967294" count="1" selected="0">
            <x v="0"/>
          </reference>
          <reference field="11" count="1" selected="0">
            <x v="2"/>
          </reference>
        </references>
      </pivotArea>
    </chartFormat>
    <chartFormat chart="17" format="15">
      <pivotArea type="data" outline="0" fieldPosition="0">
        <references count="2">
          <reference field="4294967294" count="1" selected="0">
            <x v="0"/>
          </reference>
          <reference field="11" count="1" selected="0">
            <x v="4"/>
          </reference>
        </references>
      </pivotArea>
    </chartFormat>
    <chartFormat chart="17" format="1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B38DD3-7213-4270-81A4-D94C7B00F69E}"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rowHeaderCaption="Departments" colHeaderCaption="Employment Status">
  <location ref="K3:M11" firstHeaderRow="1" firstDataRow="2" firstDataCol="1"/>
  <pivotFields count="16">
    <pivotField showAll="0"/>
    <pivotField showAll="0"/>
    <pivotField showAll="0"/>
    <pivotField showAll="0">
      <items count="7">
        <item x="2"/>
        <item x="5"/>
        <item x="0"/>
        <item x="1"/>
        <item x="3"/>
        <item x="4"/>
        <item t="default"/>
      </items>
    </pivotField>
    <pivotField numFmtId="165" showAll="0">
      <items count="148">
        <item x="93"/>
        <item x="98"/>
        <item x="61"/>
        <item x="137"/>
        <item x="69"/>
        <item x="29"/>
        <item x="30"/>
        <item x="35"/>
        <item x="72"/>
        <item x="134"/>
        <item x="90"/>
        <item x="78"/>
        <item x="16"/>
        <item x="11"/>
        <item x="2"/>
        <item x="125"/>
        <item x="102"/>
        <item x="143"/>
        <item x="111"/>
        <item x="23"/>
        <item x="19"/>
        <item x="107"/>
        <item x="50"/>
        <item x="44"/>
        <item x="73"/>
        <item x="9"/>
        <item x="145"/>
        <item x="64"/>
        <item x="105"/>
        <item x="47"/>
        <item x="75"/>
        <item x="60"/>
        <item x="65"/>
        <item x="62"/>
        <item x="113"/>
        <item x="87"/>
        <item x="17"/>
        <item x="34"/>
        <item x="136"/>
        <item x="127"/>
        <item x="118"/>
        <item x="39"/>
        <item x="68"/>
        <item x="133"/>
        <item x="20"/>
        <item x="130"/>
        <item x="0"/>
        <item x="8"/>
        <item x="92"/>
        <item x="100"/>
        <item x="56"/>
        <item x="40"/>
        <item x="122"/>
        <item x="28"/>
        <item x="18"/>
        <item x="135"/>
        <item x="91"/>
        <item x="70"/>
        <item x="124"/>
        <item x="123"/>
        <item x="131"/>
        <item x="79"/>
        <item x="88"/>
        <item x="94"/>
        <item x="52"/>
        <item x="141"/>
        <item x="106"/>
        <item x="97"/>
        <item x="42"/>
        <item x="74"/>
        <item x="66"/>
        <item x="77"/>
        <item x="138"/>
        <item x="32"/>
        <item x="89"/>
        <item x="45"/>
        <item x="43"/>
        <item x="26"/>
        <item x="51"/>
        <item x="86"/>
        <item x="14"/>
        <item x="101"/>
        <item x="139"/>
        <item x="5"/>
        <item x="10"/>
        <item x="38"/>
        <item x="41"/>
        <item x="114"/>
        <item x="48"/>
        <item x="109"/>
        <item x="13"/>
        <item x="120"/>
        <item x="84"/>
        <item x="59"/>
        <item x="96"/>
        <item x="55"/>
        <item x="7"/>
        <item x="53"/>
        <item x="82"/>
        <item x="103"/>
        <item x="21"/>
        <item x="12"/>
        <item x="132"/>
        <item x="104"/>
        <item x="67"/>
        <item x="108"/>
        <item x="85"/>
        <item x="46"/>
        <item x="76"/>
        <item x="95"/>
        <item x="117"/>
        <item x="116"/>
        <item x="33"/>
        <item x="49"/>
        <item x="129"/>
        <item x="126"/>
        <item x="121"/>
        <item x="1"/>
        <item x="112"/>
        <item x="144"/>
        <item x="24"/>
        <item x="37"/>
        <item x="110"/>
        <item x="81"/>
        <item x="27"/>
        <item x="36"/>
        <item x="22"/>
        <item x="71"/>
        <item x="63"/>
        <item x="146"/>
        <item x="119"/>
        <item x="4"/>
        <item x="140"/>
        <item x="115"/>
        <item x="142"/>
        <item x="99"/>
        <item x="128"/>
        <item x="3"/>
        <item x="54"/>
        <item x="25"/>
        <item x="15"/>
        <item x="80"/>
        <item x="31"/>
        <item x="83"/>
        <item x="58"/>
        <item x="57"/>
        <item x="6"/>
        <item t="default"/>
      </items>
    </pivotField>
    <pivotField numFmtId="164" showAll="0"/>
    <pivotField dataField="1" showAll="0"/>
    <pivotField axis="axisCol" showAll="0">
      <items count="4">
        <item x="0"/>
        <item x="1"/>
        <item h="1" x="2"/>
        <item t="default"/>
      </items>
    </pivotField>
    <pivotField axis="axisRow" showAll="0">
      <items count="7">
        <item x="2"/>
        <item x="5"/>
        <item x="0"/>
        <item x="1"/>
        <item x="3"/>
        <item x="4"/>
        <item t="default"/>
      </items>
    </pivotField>
    <pivotField showAll="0"/>
    <pivotField showAll="0"/>
    <pivotField showAll="0">
      <items count="6">
        <item x="1"/>
        <item x="0"/>
        <item x="3"/>
        <item x="2"/>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8"/>
  </rowFields>
  <rowItems count="7">
    <i>
      <x/>
    </i>
    <i>
      <x v="1"/>
    </i>
    <i>
      <x v="2"/>
    </i>
    <i>
      <x v="3"/>
    </i>
    <i>
      <x v="4"/>
    </i>
    <i>
      <x v="5"/>
    </i>
    <i t="grand">
      <x/>
    </i>
  </rowItems>
  <colFields count="1">
    <field x="7"/>
  </colFields>
  <colItems count="2">
    <i>
      <x/>
    </i>
    <i>
      <x v="1"/>
    </i>
  </colItems>
  <dataFields count="1">
    <dataField name="Average of Perf_Score" fld="6" subtotal="average" baseField="8" baseItem="0"/>
  </dataFields>
  <formats count="2">
    <format dxfId="19">
      <pivotArea outline="0" collapsedLevelsAreSubtotals="1" fieldPosition="0">
        <references count="1">
          <reference field="7" count="1" selected="0">
            <x v="0"/>
          </reference>
        </references>
      </pivotArea>
    </format>
    <format dxfId="18">
      <pivotArea outline="0" collapsedLevelsAreSubtotals="1" fieldPosition="0">
        <references count="1">
          <reference field="7" count="1" selected="0">
            <x v="1"/>
          </reference>
        </references>
      </pivotArea>
    </format>
  </formats>
  <chartFormats count="26">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 chart="4" format="6">
      <pivotArea type="data" outline="0" fieldPosition="0">
        <references count="3">
          <reference field="4294967294" count="1" selected="0">
            <x v="0"/>
          </reference>
          <reference field="7" count="1" selected="0">
            <x v="1"/>
          </reference>
          <reference field="8" count="1" selected="0">
            <x v="4"/>
          </reference>
        </references>
      </pivotArea>
    </chartFormat>
    <chartFormat chart="4" format="7">
      <pivotArea type="data" outline="0" fieldPosition="0">
        <references count="3">
          <reference field="4294967294" count="1" selected="0">
            <x v="0"/>
          </reference>
          <reference field="7" count="1" selected="0">
            <x v="1"/>
          </reference>
          <reference field="8" count="1" selected="0">
            <x v="3"/>
          </reference>
        </references>
      </pivotArea>
    </chartFormat>
    <chartFormat chart="4" format="8">
      <pivotArea type="data" outline="0" fieldPosition="0">
        <references count="3">
          <reference field="4294967294" count="1" selected="0">
            <x v="0"/>
          </reference>
          <reference field="7" count="1" selected="0">
            <x v="1"/>
          </reference>
          <reference field="8" count="1" selected="0">
            <x v="2"/>
          </reference>
        </references>
      </pivotArea>
    </chartFormat>
    <chartFormat chart="4" format="9">
      <pivotArea type="data" outline="0" fieldPosition="0">
        <references count="3">
          <reference field="4294967294" count="1" selected="0">
            <x v="0"/>
          </reference>
          <reference field="7" count="1" selected="0">
            <x v="1"/>
          </reference>
          <reference field="8" count="1" selected="0">
            <x v="1"/>
          </reference>
        </references>
      </pivotArea>
    </chartFormat>
    <chartFormat chart="4" format="10">
      <pivotArea type="data" outline="0" fieldPosition="0">
        <references count="3">
          <reference field="4294967294" count="1" selected="0">
            <x v="0"/>
          </reference>
          <reference field="7" count="1" selected="0">
            <x v="1"/>
          </reference>
          <reference field="8" count="1" selected="0">
            <x v="5"/>
          </reference>
        </references>
      </pivotArea>
    </chartFormat>
    <chartFormat chart="4" format="11">
      <pivotArea type="data" outline="0" fieldPosition="0">
        <references count="3">
          <reference field="4294967294" count="1" selected="0">
            <x v="0"/>
          </reference>
          <reference field="7" count="1" selected="0">
            <x v="0"/>
          </reference>
          <reference field="8" count="1" selected="0">
            <x v="1"/>
          </reference>
        </references>
      </pivotArea>
    </chartFormat>
    <chartFormat chart="4" format="12">
      <pivotArea type="data" outline="0" fieldPosition="0">
        <references count="3">
          <reference field="4294967294" count="1" selected="0">
            <x v="0"/>
          </reference>
          <reference field="7" count="1" selected="0">
            <x v="0"/>
          </reference>
          <reference field="8" count="1" selected="0">
            <x v="4"/>
          </reference>
        </references>
      </pivotArea>
    </chartFormat>
    <chartFormat chart="4" format="13">
      <pivotArea type="data" outline="0" fieldPosition="0">
        <references count="3">
          <reference field="4294967294" count="1" selected="0">
            <x v="0"/>
          </reference>
          <reference field="7" count="1" selected="0">
            <x v="0"/>
          </reference>
          <reference field="8" count="1" selected="0">
            <x v="0"/>
          </reference>
        </references>
      </pivotArea>
    </chartFormat>
    <chartFormat chart="4" format="14">
      <pivotArea type="data" outline="0" fieldPosition="0">
        <references count="3">
          <reference field="4294967294" count="1" selected="0">
            <x v="0"/>
          </reference>
          <reference field="7" count="1" selected="0">
            <x v="0"/>
          </reference>
          <reference field="8" count="1" selected="0">
            <x v="2"/>
          </reference>
        </references>
      </pivotArea>
    </chartFormat>
    <chartFormat chart="4" format="15">
      <pivotArea type="data" outline="0" fieldPosition="0">
        <references count="3">
          <reference field="4294967294" count="1" selected="0">
            <x v="0"/>
          </reference>
          <reference field="7" count="1" selected="0">
            <x v="0"/>
          </reference>
          <reference field="8" count="1" selected="0">
            <x v="5"/>
          </reference>
        </references>
      </pivotArea>
    </chartFormat>
    <chartFormat chart="7" format="28" series="1">
      <pivotArea type="data" outline="0" fieldPosition="0">
        <references count="2">
          <reference field="4294967294" count="1" selected="0">
            <x v="0"/>
          </reference>
          <reference field="7" count="1" selected="0">
            <x v="0"/>
          </reference>
        </references>
      </pivotArea>
    </chartFormat>
    <chartFormat chart="7" format="29">
      <pivotArea type="data" outline="0" fieldPosition="0">
        <references count="3">
          <reference field="4294967294" count="1" selected="0">
            <x v="0"/>
          </reference>
          <reference field="7" count="1" selected="0">
            <x v="0"/>
          </reference>
          <reference field="8" count="1" selected="0">
            <x v="0"/>
          </reference>
        </references>
      </pivotArea>
    </chartFormat>
    <chartFormat chart="7" format="30">
      <pivotArea type="data" outline="0" fieldPosition="0">
        <references count="3">
          <reference field="4294967294" count="1" selected="0">
            <x v="0"/>
          </reference>
          <reference field="7" count="1" selected="0">
            <x v="0"/>
          </reference>
          <reference field="8" count="1" selected="0">
            <x v="1"/>
          </reference>
        </references>
      </pivotArea>
    </chartFormat>
    <chartFormat chart="7" format="31">
      <pivotArea type="data" outline="0" fieldPosition="0">
        <references count="3">
          <reference field="4294967294" count="1" selected="0">
            <x v="0"/>
          </reference>
          <reference field="7" count="1" selected="0">
            <x v="0"/>
          </reference>
          <reference field="8" count="1" selected="0">
            <x v="2"/>
          </reference>
        </references>
      </pivotArea>
    </chartFormat>
    <chartFormat chart="7" format="32">
      <pivotArea type="data" outline="0" fieldPosition="0">
        <references count="3">
          <reference field="4294967294" count="1" selected="0">
            <x v="0"/>
          </reference>
          <reference field="7" count="1" selected="0">
            <x v="0"/>
          </reference>
          <reference field="8" count="1" selected="0">
            <x v="4"/>
          </reference>
        </references>
      </pivotArea>
    </chartFormat>
    <chartFormat chart="7" format="33">
      <pivotArea type="data" outline="0" fieldPosition="0">
        <references count="3">
          <reference field="4294967294" count="1" selected="0">
            <x v="0"/>
          </reference>
          <reference field="7" count="1" selected="0">
            <x v="0"/>
          </reference>
          <reference field="8" count="1" selected="0">
            <x v="5"/>
          </reference>
        </references>
      </pivotArea>
    </chartFormat>
    <chartFormat chart="7" format="34" series="1">
      <pivotArea type="data" outline="0" fieldPosition="0">
        <references count="2">
          <reference field="4294967294" count="1" selected="0">
            <x v="0"/>
          </reference>
          <reference field="7" count="1" selected="0">
            <x v="1"/>
          </reference>
        </references>
      </pivotArea>
    </chartFormat>
    <chartFormat chart="7" format="35">
      <pivotArea type="data" outline="0" fieldPosition="0">
        <references count="3">
          <reference field="4294967294" count="1" selected="0">
            <x v="0"/>
          </reference>
          <reference field="7" count="1" selected="0">
            <x v="1"/>
          </reference>
          <reference field="8" count="1" selected="0">
            <x v="1"/>
          </reference>
        </references>
      </pivotArea>
    </chartFormat>
    <chartFormat chart="7" format="36">
      <pivotArea type="data" outline="0" fieldPosition="0">
        <references count="3">
          <reference field="4294967294" count="1" selected="0">
            <x v="0"/>
          </reference>
          <reference field="7" count="1" selected="0">
            <x v="1"/>
          </reference>
          <reference field="8" count="1" selected="0">
            <x v="2"/>
          </reference>
        </references>
      </pivotArea>
    </chartFormat>
    <chartFormat chart="7" format="37">
      <pivotArea type="data" outline="0" fieldPosition="0">
        <references count="3">
          <reference field="4294967294" count="1" selected="0">
            <x v="0"/>
          </reference>
          <reference field="7" count="1" selected="0">
            <x v="1"/>
          </reference>
          <reference field="8" count="1" selected="0">
            <x v="3"/>
          </reference>
        </references>
      </pivotArea>
    </chartFormat>
    <chartFormat chart="7" format="38">
      <pivotArea type="data" outline="0" fieldPosition="0">
        <references count="3">
          <reference field="4294967294" count="1" selected="0">
            <x v="0"/>
          </reference>
          <reference field="7" count="1" selected="0">
            <x v="1"/>
          </reference>
          <reference field="8" count="1" selected="0">
            <x v="4"/>
          </reference>
        </references>
      </pivotArea>
    </chartFormat>
    <chartFormat chart="7" format="39">
      <pivotArea type="data" outline="0" fieldPosition="0">
        <references count="3">
          <reference field="4294967294" count="1" selected="0">
            <x v="0"/>
          </reference>
          <reference field="7" count="1" selected="0">
            <x v="1"/>
          </reference>
          <reference field="8" count="1" selected="0">
            <x v="5"/>
          </reference>
        </references>
      </pivotArea>
    </chartFormat>
    <chartFormat chart="4" format="16" series="1">
      <pivotArea type="data" outline="0" fieldPosition="0">
        <references count="2">
          <reference field="4294967294" count="1" selected="0">
            <x v="0"/>
          </reference>
          <reference field="7" count="1" selected="0">
            <x v="2"/>
          </reference>
        </references>
      </pivotArea>
    </chartFormat>
    <chartFormat chart="7" format="40"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5EBDCE-499B-4A5A-A3A1-80A505B1BF96}"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rowHeaderCaption="Departments" colHeaderCaption="Employment Status">
  <location ref="F3:G11" firstHeaderRow="1" firstDataRow="2" firstDataCol="1"/>
  <pivotFields count="16">
    <pivotField dataField="1" showAll="0"/>
    <pivotField showAll="0"/>
    <pivotField showAll="0"/>
    <pivotField showAll="0">
      <items count="7">
        <item x="2"/>
        <item x="5"/>
        <item x="0"/>
        <item x="1"/>
        <item x="3"/>
        <item x="4"/>
        <item t="default"/>
      </items>
    </pivotField>
    <pivotField numFmtId="165" showAll="0">
      <items count="148">
        <item x="93"/>
        <item x="98"/>
        <item x="61"/>
        <item x="137"/>
        <item x="69"/>
        <item x="29"/>
        <item x="30"/>
        <item x="35"/>
        <item x="72"/>
        <item x="134"/>
        <item x="90"/>
        <item x="78"/>
        <item x="16"/>
        <item x="11"/>
        <item x="2"/>
        <item x="125"/>
        <item x="102"/>
        <item x="143"/>
        <item x="111"/>
        <item x="23"/>
        <item x="19"/>
        <item x="107"/>
        <item x="50"/>
        <item x="44"/>
        <item x="73"/>
        <item x="9"/>
        <item x="145"/>
        <item x="64"/>
        <item x="105"/>
        <item x="47"/>
        <item x="75"/>
        <item x="60"/>
        <item x="65"/>
        <item x="62"/>
        <item x="113"/>
        <item x="87"/>
        <item x="17"/>
        <item x="34"/>
        <item x="136"/>
        <item x="127"/>
        <item x="118"/>
        <item x="39"/>
        <item x="68"/>
        <item x="133"/>
        <item x="20"/>
        <item x="130"/>
        <item x="0"/>
        <item x="8"/>
        <item x="92"/>
        <item x="100"/>
        <item x="56"/>
        <item x="40"/>
        <item x="122"/>
        <item x="28"/>
        <item x="18"/>
        <item x="135"/>
        <item x="91"/>
        <item x="70"/>
        <item x="124"/>
        <item x="123"/>
        <item x="131"/>
        <item x="79"/>
        <item x="88"/>
        <item x="94"/>
        <item x="52"/>
        <item x="141"/>
        <item x="106"/>
        <item x="97"/>
        <item x="42"/>
        <item x="74"/>
        <item x="66"/>
        <item x="77"/>
        <item x="138"/>
        <item x="32"/>
        <item x="89"/>
        <item x="45"/>
        <item x="43"/>
        <item x="26"/>
        <item x="51"/>
        <item x="86"/>
        <item x="14"/>
        <item x="101"/>
        <item x="139"/>
        <item x="5"/>
        <item x="10"/>
        <item x="38"/>
        <item x="41"/>
        <item x="114"/>
        <item x="48"/>
        <item x="109"/>
        <item x="13"/>
        <item x="120"/>
        <item x="84"/>
        <item x="59"/>
        <item x="96"/>
        <item x="55"/>
        <item x="7"/>
        <item x="53"/>
        <item x="82"/>
        <item x="103"/>
        <item x="21"/>
        <item x="12"/>
        <item x="132"/>
        <item x="104"/>
        <item x="67"/>
        <item x="108"/>
        <item x="85"/>
        <item x="46"/>
        <item x="76"/>
        <item x="95"/>
        <item x="117"/>
        <item x="116"/>
        <item x="33"/>
        <item x="49"/>
        <item x="129"/>
        <item x="126"/>
        <item x="121"/>
        <item x="1"/>
        <item x="112"/>
        <item x="144"/>
        <item x="24"/>
        <item x="37"/>
        <item x="110"/>
        <item x="81"/>
        <item x="27"/>
        <item x="36"/>
        <item x="22"/>
        <item x="71"/>
        <item x="63"/>
        <item x="146"/>
        <item x="119"/>
        <item x="4"/>
        <item x="140"/>
        <item x="115"/>
        <item x="142"/>
        <item x="99"/>
        <item x="128"/>
        <item x="3"/>
        <item x="54"/>
        <item x="25"/>
        <item x="15"/>
        <item x="80"/>
        <item x="31"/>
        <item x="83"/>
        <item x="58"/>
        <item x="57"/>
        <item x="6"/>
        <item t="default"/>
      </items>
    </pivotField>
    <pivotField numFmtId="164" showAll="0"/>
    <pivotField showAll="0"/>
    <pivotField axis="axisCol" showAll="0">
      <items count="4">
        <item h="1" x="0"/>
        <item x="1"/>
        <item h="1" x="2"/>
        <item t="default"/>
      </items>
    </pivotField>
    <pivotField axis="axisRow" showAll="0">
      <items count="7">
        <item x="2"/>
        <item x="5"/>
        <item x="0"/>
        <item x="1"/>
        <item x="3"/>
        <item x="4"/>
        <item t="default"/>
      </items>
    </pivotField>
    <pivotField showAll="0"/>
    <pivotField showAll="0"/>
    <pivotField showAll="0">
      <items count="6">
        <item x="1"/>
        <item x="0"/>
        <item x="3"/>
        <item x="2"/>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8"/>
  </rowFields>
  <rowItems count="7">
    <i>
      <x/>
    </i>
    <i>
      <x v="1"/>
    </i>
    <i>
      <x v="2"/>
    </i>
    <i>
      <x v="3"/>
    </i>
    <i>
      <x v="4"/>
    </i>
    <i>
      <x v="5"/>
    </i>
    <i t="grand">
      <x/>
    </i>
  </rowItems>
  <colFields count="1">
    <field x="7"/>
  </colFields>
  <colItems count="1">
    <i>
      <x v="1"/>
    </i>
  </colItems>
  <dataFields count="1">
    <dataField name="NO of Employe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67C681-46CA-44DC-B802-0B04F423F94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8" rowHeaderCaption="Departments">
  <location ref="J17:K18" firstHeaderRow="1" firstDataRow="1" firstDataCol="1"/>
  <pivotFields count="16">
    <pivotField dataField="1" showAll="0"/>
    <pivotField showAll="0"/>
    <pivotField showAll="0"/>
    <pivotField showAll="0">
      <items count="7">
        <item x="2"/>
        <item x="5"/>
        <item x="0"/>
        <item x="1"/>
        <item x="3"/>
        <item x="4"/>
        <item t="default"/>
      </items>
    </pivotField>
    <pivotField numFmtId="165" showAll="0">
      <items count="148">
        <item x="93"/>
        <item x="98"/>
        <item x="61"/>
        <item x="137"/>
        <item x="69"/>
        <item x="29"/>
        <item x="30"/>
        <item x="35"/>
        <item x="72"/>
        <item x="134"/>
        <item x="90"/>
        <item x="78"/>
        <item x="16"/>
        <item x="11"/>
        <item x="2"/>
        <item x="125"/>
        <item x="102"/>
        <item x="143"/>
        <item x="111"/>
        <item x="23"/>
        <item x="19"/>
        <item x="107"/>
        <item x="50"/>
        <item x="44"/>
        <item x="73"/>
        <item x="9"/>
        <item x="145"/>
        <item x="64"/>
        <item x="105"/>
        <item x="47"/>
        <item x="75"/>
        <item x="60"/>
        <item x="65"/>
        <item x="62"/>
        <item x="113"/>
        <item x="87"/>
        <item x="17"/>
        <item x="34"/>
        <item x="136"/>
        <item x="127"/>
        <item x="118"/>
        <item x="39"/>
        <item x="68"/>
        <item x="133"/>
        <item x="20"/>
        <item x="130"/>
        <item x="0"/>
        <item x="8"/>
        <item x="92"/>
        <item x="100"/>
        <item x="56"/>
        <item x="40"/>
        <item x="122"/>
        <item x="28"/>
        <item x="18"/>
        <item x="135"/>
        <item x="91"/>
        <item x="70"/>
        <item x="124"/>
        <item x="123"/>
        <item x="131"/>
        <item x="79"/>
        <item x="88"/>
        <item x="94"/>
        <item x="52"/>
        <item x="141"/>
        <item x="106"/>
        <item x="97"/>
        <item x="42"/>
        <item x="74"/>
        <item x="66"/>
        <item x="77"/>
        <item x="138"/>
        <item x="32"/>
        <item x="89"/>
        <item x="45"/>
        <item x="43"/>
        <item x="26"/>
        <item x="51"/>
        <item x="86"/>
        <item x="14"/>
        <item x="101"/>
        <item x="139"/>
        <item x="5"/>
        <item x="10"/>
        <item x="38"/>
        <item x="41"/>
        <item x="114"/>
        <item x="48"/>
        <item x="109"/>
        <item x="13"/>
        <item x="120"/>
        <item x="84"/>
        <item x="59"/>
        <item x="96"/>
        <item x="55"/>
        <item x="7"/>
        <item x="53"/>
        <item x="82"/>
        <item x="103"/>
        <item x="21"/>
        <item x="12"/>
        <item x="132"/>
        <item x="104"/>
        <item x="67"/>
        <item x="108"/>
        <item x="85"/>
        <item x="46"/>
        <item x="76"/>
        <item x="95"/>
        <item x="117"/>
        <item x="116"/>
        <item x="33"/>
        <item x="49"/>
        <item x="129"/>
        <item x="126"/>
        <item x="121"/>
        <item x="1"/>
        <item x="112"/>
        <item x="144"/>
        <item x="24"/>
        <item x="37"/>
        <item x="110"/>
        <item x="81"/>
        <item x="27"/>
        <item x="36"/>
        <item x="22"/>
        <item x="71"/>
        <item x="63"/>
        <item x="146"/>
        <item x="119"/>
        <item x="4"/>
        <item x="140"/>
        <item x="115"/>
        <item x="142"/>
        <item x="99"/>
        <item x="128"/>
        <item x="3"/>
        <item x="54"/>
        <item x="25"/>
        <item x="15"/>
        <item x="80"/>
        <item x="31"/>
        <item x="83"/>
        <item x="58"/>
        <item x="57"/>
        <item x="6"/>
        <item t="default"/>
      </items>
    </pivotField>
    <pivotField numFmtId="164" showAll="0"/>
    <pivotField showAll="0"/>
    <pivotField axis="axisRow" showAll="0">
      <items count="4">
        <item x="0"/>
        <item h="1" x="1"/>
        <item h="1" x="2"/>
        <item t="default"/>
      </items>
    </pivotField>
    <pivotField showAll="0">
      <items count="7">
        <item x="2"/>
        <item x="5"/>
        <item x="0"/>
        <item x="1"/>
        <item x="3"/>
        <item x="4"/>
        <item t="default"/>
      </items>
    </pivotField>
    <pivotField showAll="0"/>
    <pivotField showAll="0"/>
    <pivotField showAll="0">
      <items count="6">
        <item x="1"/>
        <item x="0"/>
        <item x="3"/>
        <item x="2"/>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7"/>
  </rowFields>
  <rowItems count="1">
    <i>
      <x/>
    </i>
  </rowItems>
  <colItems count="1">
    <i/>
  </colItems>
  <dataFields count="1">
    <dataField name="Count of Emp ID" fld="0" subtotal="count" baseField="0" baseItem="0" numFmtId="1"/>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3C0953-EF8C-4E81-B99E-7D1AEE1D2A5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5" rowHeaderCaption="Departments">
  <location ref="G17:H20" firstHeaderRow="1" firstDataRow="1" firstDataCol="1"/>
  <pivotFields count="16">
    <pivotField showAll="0"/>
    <pivotField showAll="0"/>
    <pivotField showAll="0"/>
    <pivotField showAll="0">
      <items count="7">
        <item x="2"/>
        <item x="5"/>
        <item x="0"/>
        <item x="1"/>
        <item x="3"/>
        <item x="4"/>
        <item t="default"/>
      </items>
    </pivotField>
    <pivotField numFmtId="165" showAll="0">
      <items count="148">
        <item x="93"/>
        <item x="98"/>
        <item x="61"/>
        <item x="137"/>
        <item x="69"/>
        <item x="29"/>
        <item x="30"/>
        <item x="35"/>
        <item x="72"/>
        <item x="134"/>
        <item x="90"/>
        <item x="78"/>
        <item x="16"/>
        <item x="11"/>
        <item x="2"/>
        <item x="125"/>
        <item x="102"/>
        <item x="143"/>
        <item x="111"/>
        <item x="23"/>
        <item x="19"/>
        <item x="107"/>
        <item x="50"/>
        <item x="44"/>
        <item x="73"/>
        <item x="9"/>
        <item x="145"/>
        <item x="64"/>
        <item x="105"/>
        <item x="47"/>
        <item x="75"/>
        <item x="60"/>
        <item x="65"/>
        <item x="62"/>
        <item x="113"/>
        <item x="87"/>
        <item x="17"/>
        <item x="34"/>
        <item x="136"/>
        <item x="127"/>
        <item x="118"/>
        <item x="39"/>
        <item x="68"/>
        <item x="133"/>
        <item x="20"/>
        <item x="130"/>
        <item x="0"/>
        <item x="8"/>
        <item x="92"/>
        <item x="100"/>
        <item x="56"/>
        <item x="40"/>
        <item x="122"/>
        <item x="28"/>
        <item x="18"/>
        <item x="135"/>
        <item x="91"/>
        <item x="70"/>
        <item x="124"/>
        <item x="123"/>
        <item x="131"/>
        <item x="79"/>
        <item x="88"/>
        <item x="94"/>
        <item x="52"/>
        <item x="141"/>
        <item x="106"/>
        <item x="97"/>
        <item x="42"/>
        <item x="74"/>
        <item x="66"/>
        <item x="77"/>
        <item x="138"/>
        <item x="32"/>
        <item x="89"/>
        <item x="45"/>
        <item x="43"/>
        <item x="26"/>
        <item x="51"/>
        <item x="86"/>
        <item x="14"/>
        <item x="101"/>
        <item x="139"/>
        <item x="5"/>
        <item x="10"/>
        <item x="38"/>
        <item x="41"/>
        <item x="114"/>
        <item x="48"/>
        <item x="109"/>
        <item x="13"/>
        <item x="120"/>
        <item x="84"/>
        <item x="59"/>
        <item x="96"/>
        <item x="55"/>
        <item x="7"/>
        <item x="53"/>
        <item x="82"/>
        <item x="103"/>
        <item x="21"/>
        <item x="12"/>
        <item x="132"/>
        <item x="104"/>
        <item x="67"/>
        <item x="108"/>
        <item x="85"/>
        <item x="46"/>
        <item x="76"/>
        <item x="95"/>
        <item x="117"/>
        <item x="116"/>
        <item x="33"/>
        <item x="49"/>
        <item x="129"/>
        <item x="126"/>
        <item x="121"/>
        <item x="1"/>
        <item x="112"/>
        <item x="144"/>
        <item x="24"/>
        <item x="37"/>
        <item x="110"/>
        <item x="81"/>
        <item x="27"/>
        <item x="36"/>
        <item x="22"/>
        <item x="71"/>
        <item x="63"/>
        <item x="146"/>
        <item x="119"/>
        <item x="4"/>
        <item x="140"/>
        <item x="115"/>
        <item x="142"/>
        <item x="99"/>
        <item x="128"/>
        <item x="3"/>
        <item x="54"/>
        <item x="25"/>
        <item x="15"/>
        <item x="80"/>
        <item x="31"/>
        <item x="83"/>
        <item x="58"/>
        <item x="57"/>
        <item x="6"/>
        <item t="default"/>
      </items>
    </pivotField>
    <pivotField dataField="1" numFmtId="164" showAll="0"/>
    <pivotField showAll="0"/>
    <pivotField showAll="0"/>
    <pivotField axis="axisRow" showAll="0" measureFilter="1">
      <items count="7">
        <item x="2"/>
        <item x="5"/>
        <item x="0"/>
        <item x="1"/>
        <item x="3"/>
        <item x="4"/>
        <item t="default"/>
      </items>
    </pivotField>
    <pivotField showAll="0"/>
    <pivotField showAll="0"/>
    <pivotField showAll="0">
      <items count="6">
        <item x="1"/>
        <item x="0"/>
        <item x="3"/>
        <item x="2"/>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8"/>
  </rowFields>
  <rowItems count="3">
    <i>
      <x/>
    </i>
    <i>
      <x v="1"/>
    </i>
    <i>
      <x v="5"/>
    </i>
  </rowItems>
  <colItems count="1">
    <i/>
  </colItems>
  <dataFields count="1">
    <dataField name="Average of Salary" fld="5" subtotal="average" baseField="8" baseItem="4" numFmtId="167"/>
  </dataFields>
  <formats count="1">
    <format dxfId="21">
      <pivotArea outline="0" collapsedLevelsAreSubtotals="1" fieldPosition="0"/>
    </format>
  </formats>
  <chartFormats count="3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 chart="53" format="7">
      <pivotArea type="data" outline="0" fieldPosition="0">
        <references count="2">
          <reference field="4294967294" count="1" selected="0">
            <x v="0"/>
          </reference>
          <reference field="8" count="1" selected="0">
            <x v="0"/>
          </reference>
        </references>
      </pivotArea>
    </chartFormat>
    <chartFormat chart="53" format="8">
      <pivotArea type="data" outline="0" fieldPosition="0">
        <references count="2">
          <reference field="4294967294" count="1" selected="0">
            <x v="0"/>
          </reference>
          <reference field="8" count="1" selected="0">
            <x v="1"/>
          </reference>
        </references>
      </pivotArea>
    </chartFormat>
    <chartFormat chart="53" format="9">
      <pivotArea type="data" outline="0" fieldPosition="0">
        <references count="2">
          <reference field="4294967294" count="1" selected="0">
            <x v="0"/>
          </reference>
          <reference field="8" count="1" selected="0">
            <x v="3"/>
          </reference>
        </references>
      </pivotArea>
    </chartFormat>
    <chartFormat chart="53" format="10">
      <pivotArea type="data" outline="0" fieldPosition="0">
        <references count="2">
          <reference field="4294967294" count="1" selected="0">
            <x v="0"/>
          </reference>
          <reference field="8" count="1" selected="0">
            <x v="4"/>
          </reference>
        </references>
      </pivotArea>
    </chartFormat>
    <chartFormat chart="53" format="11">
      <pivotArea type="data" outline="0" fieldPosition="0">
        <references count="2">
          <reference field="4294967294" count="1" selected="0">
            <x v="0"/>
          </reference>
          <reference field="8" count="1" selected="0">
            <x v="5"/>
          </reference>
        </references>
      </pivotArea>
    </chartFormat>
    <chartFormat chart="53" format="12">
      <pivotArea type="data" outline="0" fieldPosition="0">
        <references count="2">
          <reference field="4294967294" count="1" selected="0">
            <x v="0"/>
          </reference>
          <reference field="8" count="1" selected="0">
            <x v="2"/>
          </reference>
        </references>
      </pivotArea>
    </chartFormat>
    <chartFormat chart="72" format="0" series="1">
      <pivotArea type="data" outline="0" fieldPosition="0">
        <references count="1">
          <reference field="4294967294" count="1" selected="0">
            <x v="0"/>
          </reference>
        </references>
      </pivotArea>
    </chartFormat>
    <chartFormat chart="72" format="2">
      <pivotArea type="data" outline="0" fieldPosition="0">
        <references count="2">
          <reference field="4294967294" count="1" selected="0">
            <x v="0"/>
          </reference>
          <reference field="8" count="1" selected="0">
            <x v="5"/>
          </reference>
        </references>
      </pivotArea>
    </chartFormat>
    <chartFormat chart="72" format="3">
      <pivotArea type="data" outline="0" fieldPosition="0">
        <references count="2">
          <reference field="4294967294" count="1" selected="0">
            <x v="0"/>
          </reference>
          <reference field="8" count="1" selected="0">
            <x v="0"/>
          </reference>
        </references>
      </pivotArea>
    </chartFormat>
    <chartFormat chart="72" format="4">
      <pivotArea type="data" outline="0" fieldPosition="0">
        <references count="2">
          <reference field="4294967294" count="1" selected="0">
            <x v="0"/>
          </reference>
          <reference field="8" count="1" selected="0">
            <x v="1"/>
          </reference>
        </references>
      </pivotArea>
    </chartFormat>
    <chartFormat chart="82" format="13" series="1">
      <pivotArea type="data" outline="0" fieldPosition="0">
        <references count="1">
          <reference field="4294967294" count="1" selected="0">
            <x v="0"/>
          </reference>
        </references>
      </pivotArea>
    </chartFormat>
    <chartFormat chart="82" format="14">
      <pivotArea type="data" outline="0" fieldPosition="0">
        <references count="2">
          <reference field="4294967294" count="1" selected="0">
            <x v="0"/>
          </reference>
          <reference field="8" count="1" selected="0">
            <x v="0"/>
          </reference>
        </references>
      </pivotArea>
    </chartFormat>
    <chartFormat chart="82" format="15">
      <pivotArea type="data" outline="0" fieldPosition="0">
        <references count="2">
          <reference field="4294967294" count="1" selected="0">
            <x v="0"/>
          </reference>
          <reference field="8" count="1" selected="0">
            <x v="1"/>
          </reference>
        </references>
      </pivotArea>
    </chartFormat>
    <chartFormat chart="82" format="16">
      <pivotArea type="data" outline="0" fieldPosition="0">
        <references count="2">
          <reference field="4294967294" count="1" selected="0">
            <x v="0"/>
          </reference>
          <reference field="8" count="1" selected="0">
            <x v="5"/>
          </reference>
        </references>
      </pivotArea>
    </chartFormat>
    <chartFormat chart="87" format="5" series="1">
      <pivotArea type="data" outline="0" fieldPosition="0">
        <references count="1">
          <reference field="4294967294" count="1" selected="0">
            <x v="0"/>
          </reference>
        </references>
      </pivotArea>
    </chartFormat>
    <chartFormat chart="87" format="6">
      <pivotArea type="data" outline="0" fieldPosition="0">
        <references count="2">
          <reference field="4294967294" count="1" selected="0">
            <x v="0"/>
          </reference>
          <reference field="8" count="1" selected="0">
            <x v="0"/>
          </reference>
        </references>
      </pivotArea>
    </chartFormat>
    <chartFormat chart="87" format="7">
      <pivotArea type="data" outline="0" fieldPosition="0">
        <references count="2">
          <reference field="4294967294" count="1" selected="0">
            <x v="0"/>
          </reference>
          <reference field="8" count="1" selected="0">
            <x v="1"/>
          </reference>
        </references>
      </pivotArea>
    </chartFormat>
    <chartFormat chart="87" format="8">
      <pivotArea type="data" outline="0" fieldPosition="0">
        <references count="2">
          <reference field="4294967294" count="1" selected="0">
            <x v="0"/>
          </reference>
          <reference field="8" count="1" selected="0">
            <x v="5"/>
          </reference>
        </references>
      </pivotArea>
    </chartFormat>
    <chartFormat chart="90" format="13" series="1">
      <pivotArea type="data" outline="0" fieldPosition="0">
        <references count="1">
          <reference field="4294967294" count="1" selected="0">
            <x v="0"/>
          </reference>
        </references>
      </pivotArea>
    </chartFormat>
    <chartFormat chart="90" format="14">
      <pivotArea type="data" outline="0" fieldPosition="0">
        <references count="2">
          <reference field="4294967294" count="1" selected="0">
            <x v="0"/>
          </reference>
          <reference field="8" count="1" selected="0">
            <x v="0"/>
          </reference>
        </references>
      </pivotArea>
    </chartFormat>
    <chartFormat chart="90" format="15">
      <pivotArea type="data" outline="0" fieldPosition="0">
        <references count="2">
          <reference field="4294967294" count="1" selected="0">
            <x v="0"/>
          </reference>
          <reference field="8" count="1" selected="0">
            <x v="1"/>
          </reference>
        </references>
      </pivotArea>
    </chartFormat>
    <chartFormat chart="90" format="16">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94AE5C-1359-4841-91F7-F40E6244A4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0" firstHeaderRow="1" firstDataRow="1" firstDataCol="1" rowPageCount="1" colPageCount="1"/>
  <pivotFields count="16">
    <pivotField dataField="1" showAll="0">
      <items count="151">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default"/>
      </items>
    </pivotField>
    <pivotField showAll="0"/>
    <pivotField showAll="0"/>
    <pivotField showAll="0"/>
    <pivotField numFmtId="165" showAll="0">
      <items count="148">
        <item x="93"/>
        <item x="98"/>
        <item x="61"/>
        <item x="137"/>
        <item x="69"/>
        <item x="29"/>
        <item x="30"/>
        <item x="35"/>
        <item x="72"/>
        <item x="134"/>
        <item x="90"/>
        <item x="78"/>
        <item x="16"/>
        <item x="11"/>
        <item x="2"/>
        <item x="125"/>
        <item x="102"/>
        <item x="143"/>
        <item x="111"/>
        <item x="23"/>
        <item x="19"/>
        <item x="107"/>
        <item x="50"/>
        <item x="44"/>
        <item x="73"/>
        <item x="9"/>
        <item x="145"/>
        <item x="64"/>
        <item x="105"/>
        <item x="47"/>
        <item x="75"/>
        <item x="60"/>
        <item x="65"/>
        <item x="62"/>
        <item x="113"/>
        <item x="87"/>
        <item x="17"/>
        <item x="34"/>
        <item x="136"/>
        <item x="127"/>
        <item x="118"/>
        <item x="39"/>
        <item x="68"/>
        <item x="133"/>
        <item x="20"/>
        <item x="130"/>
        <item x="0"/>
        <item x="8"/>
        <item x="92"/>
        <item x="100"/>
        <item x="56"/>
        <item x="40"/>
        <item x="122"/>
        <item x="28"/>
        <item x="18"/>
        <item x="135"/>
        <item x="91"/>
        <item x="70"/>
        <item x="124"/>
        <item x="123"/>
        <item x="131"/>
        <item x="79"/>
        <item x="88"/>
        <item x="94"/>
        <item x="52"/>
        <item x="141"/>
        <item x="106"/>
        <item x="97"/>
        <item x="42"/>
        <item x="74"/>
        <item x="66"/>
        <item x="77"/>
        <item x="138"/>
        <item x="32"/>
        <item x="89"/>
        <item x="45"/>
        <item x="43"/>
        <item x="26"/>
        <item x="51"/>
        <item x="86"/>
        <item x="14"/>
        <item x="101"/>
        <item x="139"/>
        <item x="5"/>
        <item x="10"/>
        <item x="38"/>
        <item x="41"/>
        <item x="114"/>
        <item x="48"/>
        <item x="109"/>
        <item x="13"/>
        <item x="120"/>
        <item x="84"/>
        <item x="59"/>
        <item x="96"/>
        <item x="55"/>
        <item x="7"/>
        <item x="53"/>
        <item x="82"/>
        <item x="103"/>
        <item x="21"/>
        <item x="12"/>
        <item x="132"/>
        <item x="104"/>
        <item x="67"/>
        <item x="108"/>
        <item x="85"/>
        <item x="46"/>
        <item x="76"/>
        <item x="95"/>
        <item x="117"/>
        <item x="116"/>
        <item x="33"/>
        <item x="49"/>
        <item x="129"/>
        <item x="126"/>
        <item x="121"/>
        <item x="1"/>
        <item x="112"/>
        <item x="144"/>
        <item x="24"/>
        <item x="37"/>
        <item x="110"/>
        <item x="81"/>
        <item x="27"/>
        <item x="36"/>
        <item x="22"/>
        <item x="71"/>
        <item x="63"/>
        <item x="146"/>
        <item x="119"/>
        <item x="4"/>
        <item x="140"/>
        <item x="115"/>
        <item x="142"/>
        <item x="99"/>
        <item x="128"/>
        <item x="3"/>
        <item x="54"/>
        <item x="25"/>
        <item x="15"/>
        <item x="80"/>
        <item x="31"/>
        <item x="83"/>
        <item x="58"/>
        <item x="57"/>
        <item x="6"/>
        <item t="default"/>
      </items>
    </pivotField>
    <pivotField numFmtId="164" showAll="0"/>
    <pivotField showAll="0"/>
    <pivotField axis="axisPage" showAll="0">
      <items count="4">
        <item x="0"/>
        <item x="1"/>
        <item x="2"/>
        <item t="default"/>
      </items>
    </pivotField>
    <pivotField axis="axisRow" showAll="0">
      <items count="7">
        <item x="2"/>
        <item x="5"/>
        <item x="0"/>
        <item x="1"/>
        <item x="3"/>
        <item x="4"/>
        <item t="default"/>
      </items>
    </pivotField>
    <pivotField showAll="0"/>
    <pivotField showAll="0"/>
    <pivotField showAll="0">
      <items count="6">
        <item x="1"/>
        <item x="0"/>
        <item x="3"/>
        <item x="2"/>
        <item x="4"/>
        <item t="default"/>
      </items>
    </pivotField>
    <pivotField numFmtId="2" showAll="0"/>
    <pivotField showAll="0" defaultSubtotal="0"/>
    <pivotField showAll="0" defaultSubtotal="0"/>
    <pivotField showAll="0" defaultSubtotal="0">
      <items count="11">
        <item x="0"/>
        <item x="1"/>
        <item x="2"/>
        <item x="3"/>
        <item x="4"/>
        <item x="5"/>
        <item x="6"/>
        <item x="7"/>
        <item x="8"/>
        <item x="9"/>
        <item x="10"/>
      </items>
    </pivotField>
  </pivotFields>
  <rowFields count="1">
    <field x="8"/>
  </rowFields>
  <rowItems count="7">
    <i>
      <x/>
    </i>
    <i>
      <x v="1"/>
    </i>
    <i>
      <x v="2"/>
    </i>
    <i>
      <x v="3"/>
    </i>
    <i>
      <x v="4"/>
    </i>
    <i>
      <x v="5"/>
    </i>
    <i t="grand">
      <x/>
    </i>
  </rowItems>
  <colItems count="1">
    <i/>
  </colItems>
  <pageFields count="1">
    <pageField fld="7" item="1" hier="-1"/>
  </pageField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D24DCF-6C3F-48AA-B5F0-34E31DA1A3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16">
    <pivotField dataField="1" showAll="0">
      <items count="151">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default"/>
      </items>
    </pivotField>
    <pivotField showAll="0"/>
    <pivotField showAll="0"/>
    <pivotField showAll="0">
      <items count="7">
        <item x="2"/>
        <item x="5"/>
        <item x="0"/>
        <item x="1"/>
        <item x="3"/>
        <item x="4"/>
        <item t="default"/>
      </items>
    </pivotField>
    <pivotField numFmtId="165" showAll="0">
      <items count="148">
        <item x="93"/>
        <item x="98"/>
        <item x="61"/>
        <item x="137"/>
        <item x="69"/>
        <item x="29"/>
        <item x="30"/>
        <item x="35"/>
        <item x="72"/>
        <item x="134"/>
        <item x="90"/>
        <item x="78"/>
        <item x="16"/>
        <item x="11"/>
        <item x="2"/>
        <item x="125"/>
        <item x="102"/>
        <item x="143"/>
        <item x="111"/>
        <item x="23"/>
        <item x="19"/>
        <item x="107"/>
        <item x="50"/>
        <item x="44"/>
        <item x="73"/>
        <item x="9"/>
        <item x="145"/>
        <item x="64"/>
        <item x="105"/>
        <item x="47"/>
        <item x="75"/>
        <item x="60"/>
        <item x="65"/>
        <item x="62"/>
        <item x="113"/>
        <item x="87"/>
        <item x="17"/>
        <item x="34"/>
        <item x="136"/>
        <item x="127"/>
        <item x="118"/>
        <item x="39"/>
        <item x="68"/>
        <item x="133"/>
        <item x="20"/>
        <item x="130"/>
        <item x="0"/>
        <item x="8"/>
        <item x="92"/>
        <item x="100"/>
        <item x="56"/>
        <item x="40"/>
        <item x="122"/>
        <item x="28"/>
        <item x="18"/>
        <item x="135"/>
        <item x="91"/>
        <item x="70"/>
        <item x="124"/>
        <item x="123"/>
        <item x="131"/>
        <item x="79"/>
        <item x="88"/>
        <item x="94"/>
        <item x="52"/>
        <item x="141"/>
        <item x="106"/>
        <item x="97"/>
        <item x="42"/>
        <item x="74"/>
        <item x="66"/>
        <item x="77"/>
        <item x="138"/>
        <item x="32"/>
        <item x="89"/>
        <item x="45"/>
        <item x="43"/>
        <item x="26"/>
        <item x="51"/>
        <item x="86"/>
        <item x="14"/>
        <item x="101"/>
        <item x="139"/>
        <item x="5"/>
        <item x="10"/>
        <item x="38"/>
        <item x="41"/>
        <item x="114"/>
        <item x="48"/>
        <item x="109"/>
        <item x="13"/>
        <item x="120"/>
        <item x="84"/>
        <item x="59"/>
        <item x="96"/>
        <item x="55"/>
        <item x="7"/>
        <item x="53"/>
        <item x="82"/>
        <item x="103"/>
        <item x="21"/>
        <item x="12"/>
        <item x="132"/>
        <item x="104"/>
        <item x="67"/>
        <item x="108"/>
        <item x="85"/>
        <item x="46"/>
        <item x="76"/>
        <item x="95"/>
        <item x="117"/>
        <item x="116"/>
        <item x="33"/>
        <item x="49"/>
        <item x="129"/>
        <item x="126"/>
        <item x="121"/>
        <item x="1"/>
        <item x="112"/>
        <item x="144"/>
        <item x="24"/>
        <item x="37"/>
        <item x="110"/>
        <item x="81"/>
        <item x="27"/>
        <item x="36"/>
        <item x="22"/>
        <item x="71"/>
        <item x="63"/>
        <item x="146"/>
        <item x="119"/>
        <item x="4"/>
        <item x="140"/>
        <item x="115"/>
        <item x="142"/>
        <item x="99"/>
        <item x="128"/>
        <item x="3"/>
        <item x="54"/>
        <item x="25"/>
        <item x="15"/>
        <item x="80"/>
        <item x="31"/>
        <item x="83"/>
        <item x="58"/>
        <item x="57"/>
        <item x="6"/>
        <item t="default"/>
      </items>
    </pivotField>
    <pivotField dataField="1" numFmtId="164" showAll="0"/>
    <pivotField showAll="0"/>
    <pivotField showAll="0"/>
    <pivotField axis="axisRow" showAll="0">
      <items count="7">
        <item x="2"/>
        <item x="5"/>
        <item x="0"/>
        <item x="1"/>
        <item x="3"/>
        <item x="4"/>
        <item t="default"/>
      </items>
    </pivotField>
    <pivotField showAll="0"/>
    <pivotField showAll="0"/>
    <pivotField showAll="0">
      <items count="6">
        <item x="1"/>
        <item x="0"/>
        <item x="3"/>
        <item x="2"/>
        <item x="4"/>
        <item t="default"/>
      </items>
    </pivotField>
    <pivotField numFmtId="2" showAll="0"/>
    <pivotField showAll="0" defaultSubtotal="0"/>
    <pivotField showAll="0" defaultSubtotal="0"/>
    <pivotField showAll="0" defaultSubtotal="0">
      <items count="11">
        <item x="0"/>
        <item x="1"/>
        <item x="2"/>
        <item x="3"/>
        <item x="4"/>
        <item x="5"/>
        <item x="6"/>
        <item x="7"/>
        <item x="8"/>
        <item x="9"/>
        <item x="10"/>
      </items>
    </pivotField>
  </pivotFields>
  <rowFields count="1">
    <field x="8"/>
  </rowFields>
  <rowItems count="7">
    <i>
      <x/>
    </i>
    <i>
      <x v="1"/>
    </i>
    <i>
      <x v="2"/>
    </i>
    <i>
      <x v="3"/>
    </i>
    <i>
      <x v="4"/>
    </i>
    <i>
      <x v="5"/>
    </i>
    <i t="grand">
      <x/>
    </i>
  </rowItems>
  <colFields count="1">
    <field x="-2"/>
  </colFields>
  <colItems count="2">
    <i>
      <x/>
    </i>
    <i i="1">
      <x v="1"/>
    </i>
  </colItems>
  <dataFields count="2">
    <dataField name="Average of Salary" fld="5" subtotal="average" baseField="8" baseItem="4" numFmtId="164"/>
    <dataField name="Count of Emp 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Code" xr10:uid="{83E109C9-73B5-4024-ACF5-77621E69D62E}" sourceName="Dept Code">
  <pivotTables>
    <pivotTable tabId="4" name="PivotTable3"/>
    <pivotTable tabId="4" name="PivotTable1"/>
    <pivotTable tabId="4" name="PivotTable2"/>
    <pivotTable tabId="4" name="PivotTable4"/>
    <pivotTable tabId="4" name="PivotTable5"/>
    <pivotTable tabId="4" name="PivotTable6"/>
    <pivotTable tabId="8" name="PivotTable2"/>
  </pivotTables>
  <data>
    <tabular pivotCacheId="823759494">
      <items count="6">
        <i x="2" s="1"/>
        <i x="5"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E549C962-A54A-4B05-8F34-5088A7C2B585}" sourceName="Employment Status">
  <pivotTables>
    <pivotTable tabId="4" name="PivotTable6"/>
    <pivotTable tabId="4" name="PivotTable3"/>
  </pivotTables>
  <data>
    <tabular pivotCacheId="82375949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B9AEF851-9309-43C7-8BB9-5C97777ED297}" sourceName="Performance Band">
  <pivotTables>
    <pivotTable tabId="4" name="PivotTable6"/>
    <pivotTable tabId="4" name="PivotTable1"/>
    <pivotTable tabId="4" name="PivotTable2"/>
    <pivotTable tabId="4" name="PivotTable3"/>
    <pivotTable tabId="4" name="PivotTable4"/>
    <pivotTable tabId="4" name="PivotTable5"/>
    <pivotTable tabId="8" name="PivotTable2"/>
    <pivotTable tabId="8" name="PivotTable3"/>
  </pivotTables>
  <data>
    <tabular pivotCacheId="823759494">
      <items count="5">
        <i x="1" s="1"/>
        <i x="0"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 Status 1" xr10:uid="{18FA40A7-1CE6-4B6B-B1F4-17E7660C3BFA}" cache="Slicer_Employment_Status" caption="Employment Status" columnCount="2" style="SlicerStyleLight4" rowHeight="274320"/>
  <slicer name="Performance Band 1" xr10:uid="{588DF240-9BF3-408C-BCAD-F4C1077B2D47}" cache="Slicer_Performance_Band" caption="Performance Band" style="SlicerStyleLight4"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Code" xr10:uid="{7E044B84-3D9A-46BA-A923-E5650F03DE40}" cache="Slicer_Dept_Code" caption="Dept Code" rowHeight="241300"/>
  <slicer name="Employment Status" xr10:uid="{A4E8E6C5-95E2-43D0-9333-1D44A84B09B0}" cache="Slicer_Employment_Status" caption="Employment Status" rowHeight="241300"/>
  <slicer name="Performance Band" xr10:uid="{4FE3828B-C42F-435D-BDB0-FCB4ADB00C92}" cache="Slicer_Performance_Band" caption="Performance Ban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0AC532-C23B-473E-9B7B-5C08E8C896D7}" name="Table1" displayName="Table1" ref="A1:M151" totalsRowShown="0" headerRowDxfId="14" headerRowBorderDxfId="13" tableBorderDxfId="12">
  <autoFilter ref="A1:M151" xr:uid="{6A0AC532-C23B-473E-9B7B-5C08E8C896D7}"/>
  <tableColumns count="13">
    <tableColumn id="1" xr3:uid="{50FED199-C479-4023-B0C3-279AC45B0E70}" name="Emp ID"/>
    <tableColumn id="2" xr3:uid="{872A2161-2291-4039-B124-5C02601AFEEC}" name="First_Name"/>
    <tableColumn id="3" xr3:uid="{0D1FB027-8F7F-4D24-8825-F6ED0271FDD9}" name="Last_Name"/>
    <tableColumn id="4" xr3:uid="{B85FC309-F707-4982-9F87-B622DEF963BA}" name="Dept Code" dataDxfId="11" totalsRowDxfId="10"/>
    <tableColumn id="5" xr3:uid="{3838E98C-48A6-46C5-A804-FF62D7E7CDF1}" name="Hire Date" dataDxfId="9" totalsRowDxfId="8"/>
    <tableColumn id="6" xr3:uid="{1468F12C-3E8F-41FB-ADCD-FF02EA62852B}" name="Salary" dataDxfId="7" totalsRowDxfId="6"/>
    <tableColumn id="7" xr3:uid="{632B8D27-88CB-49DE-9DED-682E3EF90E19}" name="Perf_Score" totalsRowDxfId="5"/>
    <tableColumn id="8" xr3:uid="{17B1D6CA-876C-4981-90CC-7E669B07F71B}" name="Employment Status"/>
    <tableColumn id="10" xr3:uid="{615D9048-72F9-4FDB-8C7D-EBC41B4979E5}" name="Department Name" dataDxfId="4">
      <calculatedColumnFormula>VLOOKUP(Table1[[#This Row],[Dept Code]],Lookup_Departments!$A$2:$B$7,2,FALSE)</calculatedColumnFormula>
    </tableColumn>
    <tableColumn id="11" xr3:uid="{C3EDDC27-9451-4E1A-B3E4-D3420C20BB86}" name="Full Name" dataDxfId="3">
      <calculatedColumnFormula>CONCATENATE(Table1[[#This Row],[Last_Name]]," "," ",Table1[[#This Row],[First_Name]])</calculatedColumnFormula>
    </tableColumn>
    <tableColumn id="12" xr3:uid="{C15C3791-4951-4E20-BE78-B5822DFB587E}" name="Years of Service" dataDxfId="2">
      <calculatedColumnFormula>DATEDIF(Table1[[#This Row],[Hire Date]],TODAY(),"Y")</calculatedColumnFormula>
    </tableColumn>
    <tableColumn id="13" xr3:uid="{C62BE512-84B7-49A1-881E-D18C4B45812F}" name="Performance Band" dataDxfId="1">
      <calculatedColumnFormula array="1">_xlfn.IFS(Table1[[#This Row],[Perf_Score]]&gt;=95,"Outstanding",Table1[[#This Row],[Perf_Score]]&gt;=85,"Exceeding",Table1[[#This Row],[Perf_Score]]&gt;=70,"Achieving",Table1[[#This Row],[Perf_Score]]&gt;=50,"Developing",Table1[[#This Row],[Perf_Score]]&gt;=0,"Needs Improvement")</calculatedColumnFormula>
    </tableColumn>
    <tableColumn id="14" xr3:uid="{66D139B7-EB02-4DFB-B480-EA8F03146A62}" name="Bonus" dataDxfId="0" dataCellStyle="Percent">
      <calculatedColumnFormula array="1">_xlfn.IFS(Table1[[#This Row],[Perf_Score]]&gt;=95,0.12,Table1[[#This Row],[Perf_Score]]&gt;=85,0.08,Table1[[#This Row],[Perf_Score]]&gt;=70,0.05,Table1[[#This Row],[Perf_Score]]&gt;=50,0.02,Table1[[#This Row],[Perf_Score]]&gt;=0,0)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B5978-94A1-4B51-87C1-5A222A93E864}">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73B4D-37AA-40B4-A418-18188B5F5564}">
  <sheetPr>
    <tabColor rgb="FFB40FC1"/>
    <pageSetUpPr autoPageBreaks="0"/>
  </sheetPr>
  <dimension ref="A1:AE101"/>
  <sheetViews>
    <sheetView tabSelected="1" topLeftCell="B12" zoomScaleNormal="100" zoomScaleSheetLayoutView="100" workbookViewId="0">
      <selection activeCell="W1" sqref="W1:AE38"/>
    </sheetView>
  </sheetViews>
  <sheetFormatPr defaultRowHeight="15" x14ac:dyDescent="0.25"/>
  <cols>
    <col min="9" max="9" width="9.140625" customWidth="1"/>
    <col min="13" max="13" width="2.28515625" customWidth="1"/>
    <col min="14" max="21" width="9.140625" hidden="1" customWidth="1"/>
    <col min="22" max="22" width="0.28515625" customWidth="1"/>
  </cols>
  <sheetData>
    <row r="1" spans="1:31" ht="15" customHeight="1" x14ac:dyDescent="0.25">
      <c r="A1" s="18"/>
      <c r="B1" s="18"/>
      <c r="C1" s="18"/>
      <c r="D1" s="18"/>
      <c r="E1" s="18"/>
      <c r="F1" s="18"/>
      <c r="G1" s="18"/>
      <c r="H1" s="18"/>
      <c r="I1" s="18"/>
      <c r="J1" s="18"/>
      <c r="K1" s="18"/>
      <c r="L1" s="18"/>
      <c r="M1" s="18"/>
      <c r="N1" s="18"/>
      <c r="O1" s="18"/>
      <c r="P1" s="18"/>
      <c r="Q1" s="18"/>
      <c r="R1" s="18"/>
      <c r="S1" s="18"/>
      <c r="T1" s="18"/>
      <c r="U1" s="18"/>
      <c r="V1" s="18"/>
      <c r="W1" s="19"/>
      <c r="X1" s="19"/>
      <c r="Y1" s="19"/>
      <c r="Z1" s="19"/>
      <c r="AA1" s="19"/>
      <c r="AB1" s="19"/>
      <c r="AC1" s="19"/>
      <c r="AD1" s="19"/>
      <c r="AE1" s="19"/>
    </row>
    <row r="2" spans="1:31" ht="15" customHeight="1" x14ac:dyDescent="0.25">
      <c r="A2" s="18"/>
      <c r="B2" s="18"/>
      <c r="C2" s="18"/>
      <c r="D2" s="18"/>
      <c r="E2" s="18"/>
      <c r="F2" s="18"/>
      <c r="G2" s="18"/>
      <c r="H2" s="18"/>
      <c r="I2" s="18"/>
      <c r="J2" s="18"/>
      <c r="K2" s="18"/>
      <c r="L2" s="18"/>
      <c r="M2" s="18"/>
      <c r="N2" s="18"/>
      <c r="O2" s="18"/>
      <c r="P2" s="18"/>
      <c r="Q2" s="18"/>
      <c r="R2" s="18"/>
      <c r="S2" s="18"/>
      <c r="T2" s="18"/>
      <c r="U2" s="18"/>
      <c r="V2" s="18"/>
      <c r="W2" s="19"/>
      <c r="X2" s="19"/>
      <c r="Y2" s="19"/>
      <c r="Z2" s="19"/>
      <c r="AA2" s="19"/>
      <c r="AB2" s="19"/>
      <c r="AC2" s="19"/>
      <c r="AD2" s="19"/>
      <c r="AE2" s="19"/>
    </row>
    <row r="3" spans="1:31" ht="15" customHeight="1" x14ac:dyDescent="0.25">
      <c r="A3" s="18"/>
      <c r="B3" s="18"/>
      <c r="C3" s="18"/>
      <c r="D3" s="18"/>
      <c r="E3" s="18"/>
      <c r="F3" s="18"/>
      <c r="G3" s="18"/>
      <c r="H3" s="18"/>
      <c r="I3" s="18"/>
      <c r="J3" s="18"/>
      <c r="K3" s="18"/>
      <c r="L3" s="18"/>
      <c r="M3" s="18"/>
      <c r="N3" s="18"/>
      <c r="O3" s="18"/>
      <c r="P3" s="18"/>
      <c r="Q3" s="18"/>
      <c r="R3" s="18"/>
      <c r="S3" s="18"/>
      <c r="T3" s="18"/>
      <c r="U3" s="18"/>
      <c r="V3" s="18"/>
      <c r="W3" s="19"/>
      <c r="X3" s="19"/>
      <c r="Y3" s="19"/>
      <c r="Z3" s="19"/>
      <c r="AA3" s="19"/>
      <c r="AB3" s="19"/>
      <c r="AC3" s="19"/>
      <c r="AD3" s="19"/>
      <c r="AE3" s="19"/>
    </row>
    <row r="4" spans="1:31" ht="15" customHeight="1" x14ac:dyDescent="0.25">
      <c r="A4" s="18"/>
      <c r="B4" s="18"/>
      <c r="C4" s="18"/>
      <c r="D4" s="18"/>
      <c r="E4" s="18"/>
      <c r="F4" s="18"/>
      <c r="G4" s="18"/>
      <c r="H4" s="18"/>
      <c r="I4" s="18"/>
      <c r="J4" s="18"/>
      <c r="K4" s="18"/>
      <c r="L4" s="18"/>
      <c r="M4" s="18"/>
      <c r="N4" s="18"/>
      <c r="O4" s="18"/>
      <c r="P4" s="18"/>
      <c r="Q4" s="18"/>
      <c r="R4" s="18"/>
      <c r="S4" s="18"/>
      <c r="T4" s="18"/>
      <c r="U4" s="18"/>
      <c r="V4" s="18"/>
      <c r="W4" s="19"/>
      <c r="X4" s="19"/>
      <c r="Y4" s="19"/>
      <c r="Z4" s="19"/>
      <c r="AA4" s="19"/>
      <c r="AB4" s="19"/>
      <c r="AC4" s="19"/>
      <c r="AD4" s="19"/>
      <c r="AE4" s="19"/>
    </row>
    <row r="5" spans="1:31" ht="15" customHeight="1" x14ac:dyDescent="0.25">
      <c r="A5" s="18"/>
      <c r="B5" s="18"/>
      <c r="C5" s="18"/>
      <c r="D5" s="18"/>
      <c r="E5" s="18"/>
      <c r="F5" s="18"/>
      <c r="G5" s="18"/>
      <c r="H5" s="18"/>
      <c r="I5" s="18"/>
      <c r="J5" s="18"/>
      <c r="K5" s="18"/>
      <c r="L5" s="18"/>
      <c r="M5" s="18"/>
      <c r="N5" s="18"/>
      <c r="O5" s="18"/>
      <c r="P5" s="18"/>
      <c r="Q5" s="18"/>
      <c r="R5" s="18"/>
      <c r="S5" s="18"/>
      <c r="T5" s="18"/>
      <c r="U5" s="18"/>
      <c r="V5" s="18"/>
      <c r="W5" s="19"/>
      <c r="X5" s="19"/>
      <c r="Y5" s="19"/>
      <c r="Z5" s="19"/>
      <c r="AA5" s="19"/>
      <c r="AB5" s="19"/>
      <c r="AC5" s="19"/>
      <c r="AD5" s="19"/>
      <c r="AE5" s="19"/>
    </row>
    <row r="6" spans="1:31" ht="15" customHeight="1" x14ac:dyDescent="0.25">
      <c r="A6" s="18"/>
      <c r="B6" s="18"/>
      <c r="C6" s="18"/>
      <c r="D6" s="18"/>
      <c r="E6" s="18"/>
      <c r="F6" s="18"/>
      <c r="G6" s="18"/>
      <c r="H6" s="18"/>
      <c r="I6" s="18"/>
      <c r="J6" s="18"/>
      <c r="K6" s="18"/>
      <c r="L6" s="18"/>
      <c r="M6" s="18"/>
      <c r="N6" s="18"/>
      <c r="O6" s="18"/>
      <c r="P6" s="18"/>
      <c r="Q6" s="18"/>
      <c r="R6" s="18"/>
      <c r="S6" s="18"/>
      <c r="T6" s="18"/>
      <c r="U6" s="18"/>
      <c r="V6" s="18"/>
      <c r="W6" s="19"/>
      <c r="X6" s="19"/>
      <c r="Y6" s="19"/>
      <c r="Z6" s="19"/>
      <c r="AA6" s="19"/>
      <c r="AB6" s="19"/>
      <c r="AC6" s="19"/>
      <c r="AD6" s="19"/>
      <c r="AE6" s="19"/>
    </row>
    <row r="7" spans="1:31" ht="15" customHeight="1" x14ac:dyDescent="0.25">
      <c r="A7" s="18"/>
      <c r="B7" s="18"/>
      <c r="C7" s="18"/>
      <c r="D7" s="18"/>
      <c r="E7" s="18"/>
      <c r="F7" s="18"/>
      <c r="G7" s="18"/>
      <c r="H7" s="18"/>
      <c r="I7" s="18"/>
      <c r="J7" s="18"/>
      <c r="K7" s="18"/>
      <c r="L7" s="18"/>
      <c r="M7" s="18"/>
      <c r="N7" s="18"/>
      <c r="O7" s="18"/>
      <c r="P7" s="18"/>
      <c r="Q7" s="18"/>
      <c r="R7" s="18"/>
      <c r="S7" s="18"/>
      <c r="T7" s="18"/>
      <c r="U7" s="18"/>
      <c r="V7" s="18"/>
      <c r="W7" s="19"/>
      <c r="X7" s="19"/>
      <c r="Y7" s="19"/>
      <c r="Z7" s="19"/>
      <c r="AA7" s="19"/>
      <c r="AB7" s="19"/>
      <c r="AC7" s="19"/>
      <c r="AD7" s="19"/>
      <c r="AE7" s="19"/>
    </row>
    <row r="8" spans="1:31" ht="15" customHeight="1" x14ac:dyDescent="0.25">
      <c r="A8" s="18"/>
      <c r="B8" s="18"/>
      <c r="C8" s="18"/>
      <c r="D8" s="18"/>
      <c r="E8" s="18"/>
      <c r="F8" s="18"/>
      <c r="G8" s="18"/>
      <c r="H8" s="18"/>
      <c r="I8" s="18"/>
      <c r="J8" s="18"/>
      <c r="K8" s="18"/>
      <c r="L8" s="18"/>
      <c r="M8" s="18"/>
      <c r="N8" s="18"/>
      <c r="O8" s="18"/>
      <c r="P8" s="18"/>
      <c r="Q8" s="18"/>
      <c r="R8" s="18"/>
      <c r="S8" s="18"/>
      <c r="T8" s="18"/>
      <c r="U8" s="18"/>
      <c r="V8" s="18"/>
      <c r="W8" s="19"/>
      <c r="X8" s="19"/>
      <c r="Y8" s="19"/>
      <c r="Z8" s="19"/>
      <c r="AA8" s="19"/>
      <c r="AB8" s="19"/>
      <c r="AC8" s="19"/>
      <c r="AD8" s="19"/>
      <c r="AE8" s="19"/>
    </row>
    <row r="9" spans="1:31" ht="15" customHeight="1" x14ac:dyDescent="0.25">
      <c r="A9" s="18"/>
      <c r="B9" s="18"/>
      <c r="C9" s="18"/>
      <c r="D9" s="18"/>
      <c r="E9" s="18"/>
      <c r="F9" s="18"/>
      <c r="G9" s="18"/>
      <c r="H9" s="18"/>
      <c r="I9" s="18"/>
      <c r="J9" s="18"/>
      <c r="K9" s="18"/>
      <c r="L9" s="18"/>
      <c r="M9" s="18"/>
      <c r="N9" s="18"/>
      <c r="O9" s="18"/>
      <c r="P9" s="18"/>
      <c r="Q9" s="18"/>
      <c r="R9" s="18"/>
      <c r="S9" s="18"/>
      <c r="T9" s="18"/>
      <c r="U9" s="18"/>
      <c r="V9" s="18"/>
      <c r="W9" s="19"/>
      <c r="X9" s="19"/>
      <c r="Y9" s="19"/>
      <c r="Z9" s="19"/>
      <c r="AA9" s="19"/>
      <c r="AB9" s="19"/>
      <c r="AC9" s="19"/>
      <c r="AD9" s="19"/>
      <c r="AE9" s="19"/>
    </row>
    <row r="10" spans="1:31" ht="15" customHeight="1" x14ac:dyDescent="0.25">
      <c r="A10" s="18"/>
      <c r="B10" s="18"/>
      <c r="C10" s="18"/>
      <c r="D10" s="18"/>
      <c r="E10" s="18"/>
      <c r="F10" s="18"/>
      <c r="G10" s="18"/>
      <c r="H10" s="18"/>
      <c r="I10" s="18"/>
      <c r="J10" s="18"/>
      <c r="K10" s="18"/>
      <c r="L10" s="18"/>
      <c r="M10" s="18"/>
      <c r="N10" s="18"/>
      <c r="O10" s="18"/>
      <c r="P10" s="18"/>
      <c r="Q10" s="18"/>
      <c r="R10" s="18"/>
      <c r="S10" s="18"/>
      <c r="T10" s="18"/>
      <c r="U10" s="18"/>
      <c r="V10" s="18"/>
      <c r="W10" s="19"/>
      <c r="X10" s="19"/>
      <c r="Y10" s="19"/>
      <c r="Z10" s="19"/>
      <c r="AA10" s="19"/>
      <c r="AB10" s="19"/>
      <c r="AC10" s="19"/>
      <c r="AD10" s="19"/>
      <c r="AE10" s="19"/>
    </row>
    <row r="11" spans="1:31" ht="15" customHeight="1" x14ac:dyDescent="0.25">
      <c r="A11" s="18"/>
      <c r="B11" s="18"/>
      <c r="C11" s="18"/>
      <c r="D11" s="18"/>
      <c r="E11" s="18"/>
      <c r="F11" s="18"/>
      <c r="G11" s="18"/>
      <c r="H11" s="18"/>
      <c r="I11" s="18"/>
      <c r="J11" s="18"/>
      <c r="K11" s="18"/>
      <c r="L11" s="18"/>
      <c r="M11" s="18"/>
      <c r="N11" s="18"/>
      <c r="O11" s="18"/>
      <c r="P11" s="18"/>
      <c r="Q11" s="18"/>
      <c r="R11" s="18"/>
      <c r="S11" s="18"/>
      <c r="T11" s="18"/>
      <c r="U11" s="18"/>
      <c r="V11" s="18"/>
      <c r="W11" s="19"/>
      <c r="X11" s="19"/>
      <c r="Y11" s="19"/>
      <c r="Z11" s="19"/>
      <c r="AA11" s="19"/>
      <c r="AB11" s="19"/>
      <c r="AC11" s="19"/>
      <c r="AD11" s="19"/>
      <c r="AE11" s="19"/>
    </row>
    <row r="12" spans="1:31" ht="15" customHeight="1" x14ac:dyDescent="0.25">
      <c r="A12" s="18"/>
      <c r="B12" s="18"/>
      <c r="C12" s="18"/>
      <c r="D12" s="18"/>
      <c r="E12" s="18"/>
      <c r="F12" s="18"/>
      <c r="G12" s="18"/>
      <c r="H12" s="18"/>
      <c r="I12" s="18"/>
      <c r="J12" s="18"/>
      <c r="K12" s="18"/>
      <c r="L12" s="18"/>
      <c r="M12" s="18"/>
      <c r="N12" s="18"/>
      <c r="O12" s="18"/>
      <c r="P12" s="18"/>
      <c r="Q12" s="18"/>
      <c r="R12" s="18"/>
      <c r="S12" s="18"/>
      <c r="T12" s="18"/>
      <c r="U12" s="18"/>
      <c r="V12" s="18"/>
      <c r="W12" s="19"/>
      <c r="X12" s="19"/>
      <c r="Y12" s="19"/>
      <c r="Z12" s="19"/>
      <c r="AA12" s="19"/>
      <c r="AB12" s="19"/>
      <c r="AC12" s="19"/>
      <c r="AD12" s="19"/>
      <c r="AE12" s="19"/>
    </row>
    <row r="13" spans="1:31" ht="15" customHeight="1" x14ac:dyDescent="0.25">
      <c r="A13" s="18"/>
      <c r="B13" s="18"/>
      <c r="C13" s="18"/>
      <c r="D13" s="18"/>
      <c r="E13" s="18"/>
      <c r="F13" s="18"/>
      <c r="G13" s="18"/>
      <c r="H13" s="18"/>
      <c r="I13" s="18"/>
      <c r="J13" s="18"/>
      <c r="K13" s="18"/>
      <c r="L13" s="18"/>
      <c r="M13" s="18"/>
      <c r="N13" s="18"/>
      <c r="O13" s="18"/>
      <c r="P13" s="18"/>
      <c r="Q13" s="18"/>
      <c r="R13" s="18"/>
      <c r="S13" s="18"/>
      <c r="T13" s="18"/>
      <c r="U13" s="18"/>
      <c r="V13" s="18"/>
      <c r="W13" s="19"/>
      <c r="X13" s="19"/>
      <c r="Y13" s="19"/>
      <c r="Z13" s="19"/>
      <c r="AA13" s="19"/>
      <c r="AB13" s="19"/>
      <c r="AC13" s="19"/>
      <c r="AD13" s="19"/>
      <c r="AE13" s="19"/>
    </row>
    <row r="14" spans="1:31" ht="15" customHeight="1" x14ac:dyDescent="0.25">
      <c r="A14" s="18"/>
      <c r="B14" s="18"/>
      <c r="C14" s="18"/>
      <c r="D14" s="18"/>
      <c r="E14" s="18"/>
      <c r="F14" s="18"/>
      <c r="G14" s="18"/>
      <c r="H14" s="18"/>
      <c r="I14" s="18"/>
      <c r="J14" s="18"/>
      <c r="K14" s="18"/>
      <c r="L14" s="18"/>
      <c r="M14" s="18"/>
      <c r="N14" s="18"/>
      <c r="O14" s="18"/>
      <c r="P14" s="18"/>
      <c r="Q14" s="18"/>
      <c r="R14" s="18"/>
      <c r="S14" s="18"/>
      <c r="T14" s="18"/>
      <c r="U14" s="18"/>
      <c r="V14" s="18"/>
      <c r="W14" s="19"/>
      <c r="X14" s="19"/>
      <c r="Y14" s="19"/>
      <c r="Z14" s="19"/>
      <c r="AA14" s="19"/>
      <c r="AB14" s="19"/>
      <c r="AC14" s="19"/>
      <c r="AD14" s="19"/>
      <c r="AE14" s="19"/>
    </row>
    <row r="15" spans="1:31" ht="15" customHeight="1" x14ac:dyDescent="0.25">
      <c r="A15" s="18"/>
      <c r="B15" s="18"/>
      <c r="C15" s="18"/>
      <c r="D15" s="18"/>
      <c r="E15" s="18"/>
      <c r="F15" s="18"/>
      <c r="G15" s="18"/>
      <c r="H15" s="18"/>
      <c r="I15" s="18"/>
      <c r="J15" s="18"/>
      <c r="K15" s="18"/>
      <c r="L15" s="18"/>
      <c r="M15" s="18"/>
      <c r="N15" s="18"/>
      <c r="O15" s="18"/>
      <c r="P15" s="18"/>
      <c r="Q15" s="18"/>
      <c r="R15" s="18"/>
      <c r="S15" s="18"/>
      <c r="T15" s="18"/>
      <c r="U15" s="18"/>
      <c r="V15" s="18"/>
      <c r="W15" s="19"/>
      <c r="X15" s="19"/>
      <c r="Y15" s="19"/>
      <c r="Z15" s="19"/>
      <c r="AA15" s="19"/>
      <c r="AB15" s="19"/>
      <c r="AC15" s="19"/>
      <c r="AD15" s="19"/>
      <c r="AE15" s="19"/>
    </row>
    <row r="16" spans="1:31" ht="15" customHeight="1" x14ac:dyDescent="0.25">
      <c r="A16" s="18"/>
      <c r="B16" s="18"/>
      <c r="C16" s="18"/>
      <c r="D16" s="18"/>
      <c r="E16" s="18"/>
      <c r="F16" s="18"/>
      <c r="G16" s="18"/>
      <c r="H16" s="18"/>
      <c r="I16" s="18"/>
      <c r="J16" s="18"/>
      <c r="K16" s="18"/>
      <c r="L16" s="18"/>
      <c r="M16" s="18"/>
      <c r="N16" s="18"/>
      <c r="O16" s="18"/>
      <c r="P16" s="18"/>
      <c r="Q16" s="18"/>
      <c r="R16" s="18"/>
      <c r="S16" s="18"/>
      <c r="T16" s="18"/>
      <c r="U16" s="18"/>
      <c r="V16" s="18"/>
      <c r="W16" s="19"/>
      <c r="X16" s="19"/>
      <c r="Y16" s="19"/>
      <c r="Z16" s="19"/>
      <c r="AA16" s="19"/>
      <c r="AB16" s="19"/>
      <c r="AC16" s="19"/>
      <c r="AD16" s="19"/>
      <c r="AE16" s="19"/>
    </row>
    <row r="17" spans="1:31" ht="15" customHeight="1" x14ac:dyDescent="0.25">
      <c r="A17" s="18"/>
      <c r="B17" s="18"/>
      <c r="C17" s="18"/>
      <c r="D17" s="18"/>
      <c r="E17" s="18"/>
      <c r="F17" s="18"/>
      <c r="G17" s="18"/>
      <c r="H17" s="18"/>
      <c r="I17" s="18"/>
      <c r="J17" s="18"/>
      <c r="K17" s="18"/>
      <c r="L17" s="18"/>
      <c r="M17" s="18"/>
      <c r="N17" s="18"/>
      <c r="O17" s="18"/>
      <c r="P17" s="18"/>
      <c r="Q17" s="18"/>
      <c r="R17" s="18"/>
      <c r="S17" s="18"/>
      <c r="T17" s="18"/>
      <c r="U17" s="18"/>
      <c r="V17" s="18"/>
      <c r="W17" s="19"/>
      <c r="X17" s="19"/>
      <c r="Y17" s="19"/>
      <c r="Z17" s="19"/>
      <c r="AA17" s="19"/>
      <c r="AB17" s="19"/>
      <c r="AC17" s="19"/>
      <c r="AD17" s="19"/>
      <c r="AE17" s="19"/>
    </row>
    <row r="18" spans="1:31" ht="15" customHeight="1" x14ac:dyDescent="0.25">
      <c r="A18" s="18"/>
      <c r="B18" s="18"/>
      <c r="C18" s="18"/>
      <c r="D18" s="18"/>
      <c r="E18" s="18"/>
      <c r="F18" s="18"/>
      <c r="G18" s="18"/>
      <c r="H18" s="18"/>
      <c r="I18" s="18"/>
      <c r="J18" s="18"/>
      <c r="K18" s="18"/>
      <c r="L18" s="18"/>
      <c r="M18" s="18"/>
      <c r="N18" s="18"/>
      <c r="O18" s="18"/>
      <c r="P18" s="18"/>
      <c r="Q18" s="18"/>
      <c r="R18" s="18"/>
      <c r="S18" s="18"/>
      <c r="T18" s="18"/>
      <c r="U18" s="18"/>
      <c r="V18" s="18"/>
      <c r="W18" s="19"/>
      <c r="X18" s="19"/>
      <c r="Y18" s="19"/>
      <c r="Z18" s="19"/>
      <c r="AA18" s="19"/>
      <c r="AB18" s="19"/>
      <c r="AC18" s="19"/>
      <c r="AD18" s="19"/>
      <c r="AE18" s="19"/>
    </row>
    <row r="19" spans="1:31" ht="15" customHeight="1" x14ac:dyDescent="0.25">
      <c r="A19" s="18"/>
      <c r="B19" s="18"/>
      <c r="C19" s="18"/>
      <c r="D19" s="18"/>
      <c r="E19" s="18"/>
      <c r="F19" s="18"/>
      <c r="G19" s="18"/>
      <c r="H19" s="18"/>
      <c r="I19" s="18"/>
      <c r="J19" s="18"/>
      <c r="K19" s="18"/>
      <c r="L19" s="18"/>
      <c r="M19" s="18"/>
      <c r="N19" s="18"/>
      <c r="O19" s="18"/>
      <c r="P19" s="18"/>
      <c r="Q19" s="18"/>
      <c r="R19" s="18"/>
      <c r="S19" s="18"/>
      <c r="T19" s="18"/>
      <c r="U19" s="18"/>
      <c r="V19" s="18"/>
      <c r="W19" s="19"/>
      <c r="X19" s="19"/>
      <c r="Y19" s="19"/>
      <c r="Z19" s="19"/>
      <c r="AA19" s="19"/>
      <c r="AB19" s="19"/>
      <c r="AC19" s="19"/>
      <c r="AD19" s="19"/>
      <c r="AE19" s="19"/>
    </row>
    <row r="20" spans="1:31" ht="15" customHeight="1" x14ac:dyDescent="0.25">
      <c r="A20" s="18"/>
      <c r="B20" s="18"/>
      <c r="C20" s="18"/>
      <c r="D20" s="18"/>
      <c r="E20" s="18"/>
      <c r="F20" s="18"/>
      <c r="G20" s="18"/>
      <c r="H20" s="18"/>
      <c r="I20" s="18"/>
      <c r="J20" s="18"/>
      <c r="K20" s="18"/>
      <c r="L20" s="18"/>
      <c r="M20" s="18"/>
      <c r="N20" s="18"/>
      <c r="O20" s="18"/>
      <c r="P20" s="18"/>
      <c r="Q20" s="18"/>
      <c r="R20" s="18"/>
      <c r="S20" s="18"/>
      <c r="T20" s="18"/>
      <c r="U20" s="18"/>
      <c r="V20" s="18"/>
      <c r="W20" s="19"/>
      <c r="X20" s="19"/>
      <c r="Y20" s="19"/>
      <c r="Z20" s="19"/>
      <c r="AA20" s="19"/>
      <c r="AB20" s="19"/>
      <c r="AC20" s="19"/>
      <c r="AD20" s="19"/>
      <c r="AE20" s="19"/>
    </row>
    <row r="21" spans="1:31" ht="15" customHeight="1" x14ac:dyDescent="0.25">
      <c r="A21" s="18"/>
      <c r="B21" s="18"/>
      <c r="C21" s="18"/>
      <c r="D21" s="18"/>
      <c r="E21" s="18"/>
      <c r="F21" s="18"/>
      <c r="G21" s="18"/>
      <c r="H21" s="18"/>
      <c r="I21" s="18"/>
      <c r="J21" s="18"/>
      <c r="K21" s="18"/>
      <c r="L21" s="18"/>
      <c r="M21" s="18"/>
      <c r="N21" s="18"/>
      <c r="O21" s="18"/>
      <c r="P21" s="18"/>
      <c r="Q21" s="18"/>
      <c r="R21" s="18"/>
      <c r="S21" s="18"/>
      <c r="T21" s="18"/>
      <c r="U21" s="18"/>
      <c r="V21" s="18"/>
      <c r="W21" s="19"/>
      <c r="X21" s="19"/>
      <c r="Y21" s="19"/>
      <c r="Z21" s="19"/>
      <c r="AA21" s="19"/>
      <c r="AB21" s="19"/>
      <c r="AC21" s="19"/>
      <c r="AD21" s="19"/>
      <c r="AE21" s="19"/>
    </row>
    <row r="22" spans="1:31" ht="15" customHeight="1" x14ac:dyDescent="0.25">
      <c r="A22" s="18"/>
      <c r="B22" s="18"/>
      <c r="C22" s="18"/>
      <c r="D22" s="18"/>
      <c r="E22" s="18"/>
      <c r="F22" s="18"/>
      <c r="G22" s="18"/>
      <c r="H22" s="18"/>
      <c r="I22" s="18"/>
      <c r="J22" s="18"/>
      <c r="K22" s="18"/>
      <c r="L22" s="18"/>
      <c r="M22" s="18"/>
      <c r="N22" s="18"/>
      <c r="O22" s="18"/>
      <c r="P22" s="18"/>
      <c r="Q22" s="18"/>
      <c r="R22" s="18"/>
      <c r="S22" s="18"/>
      <c r="T22" s="18"/>
      <c r="U22" s="18"/>
      <c r="V22" s="18"/>
      <c r="W22" s="19"/>
      <c r="X22" s="19"/>
      <c r="Y22" s="19"/>
      <c r="Z22" s="19"/>
      <c r="AA22" s="19"/>
      <c r="AB22" s="19"/>
      <c r="AC22" s="19"/>
      <c r="AD22" s="19"/>
      <c r="AE22" s="19"/>
    </row>
    <row r="23" spans="1:31" ht="15" customHeight="1" x14ac:dyDescent="0.25">
      <c r="A23" s="18"/>
      <c r="B23" s="18"/>
      <c r="C23" s="18"/>
      <c r="D23" s="18"/>
      <c r="E23" s="18"/>
      <c r="F23" s="18"/>
      <c r="G23" s="18"/>
      <c r="H23" s="18"/>
      <c r="I23" s="18"/>
      <c r="J23" s="18"/>
      <c r="K23" s="18"/>
      <c r="L23" s="18"/>
      <c r="M23" s="18"/>
      <c r="N23" s="18"/>
      <c r="O23" s="18"/>
      <c r="P23" s="18"/>
      <c r="Q23" s="18"/>
      <c r="R23" s="18"/>
      <c r="S23" s="18"/>
      <c r="T23" s="18"/>
      <c r="U23" s="18"/>
      <c r="V23" s="18"/>
      <c r="W23" s="19"/>
      <c r="X23" s="19"/>
      <c r="Y23" s="19"/>
      <c r="Z23" s="19"/>
      <c r="AA23" s="19"/>
      <c r="AB23" s="19"/>
      <c r="AC23" s="19"/>
      <c r="AD23" s="19"/>
      <c r="AE23" s="19"/>
    </row>
    <row r="24" spans="1:31" ht="15" customHeight="1" x14ac:dyDescent="0.25">
      <c r="A24" s="18"/>
      <c r="B24" s="18"/>
      <c r="C24" s="18"/>
      <c r="D24" s="18"/>
      <c r="E24" s="18"/>
      <c r="F24" s="18"/>
      <c r="G24" s="18"/>
      <c r="H24" s="18"/>
      <c r="I24" s="18"/>
      <c r="J24" s="18"/>
      <c r="K24" s="18"/>
      <c r="L24" s="18"/>
      <c r="M24" s="18"/>
      <c r="N24" s="18"/>
      <c r="O24" s="18"/>
      <c r="P24" s="18"/>
      <c r="Q24" s="18"/>
      <c r="R24" s="18"/>
      <c r="S24" s="18"/>
      <c r="T24" s="18"/>
      <c r="U24" s="18"/>
      <c r="V24" s="18"/>
      <c r="W24" s="19"/>
      <c r="X24" s="19"/>
      <c r="Y24" s="19"/>
      <c r="Z24" s="19"/>
      <c r="AA24" s="19"/>
      <c r="AB24" s="19"/>
      <c r="AC24" s="19"/>
      <c r="AD24" s="19"/>
      <c r="AE24" s="19"/>
    </row>
    <row r="25" spans="1:31" ht="15" customHeight="1" x14ac:dyDescent="0.25">
      <c r="A25" s="18"/>
      <c r="B25" s="18"/>
      <c r="C25" s="18"/>
      <c r="D25" s="18"/>
      <c r="E25" s="18"/>
      <c r="F25" s="18"/>
      <c r="G25" s="18"/>
      <c r="H25" s="18"/>
      <c r="I25" s="18"/>
      <c r="J25" s="18"/>
      <c r="K25" s="18"/>
      <c r="L25" s="18"/>
      <c r="M25" s="18"/>
      <c r="N25" s="18"/>
      <c r="O25" s="18"/>
      <c r="P25" s="18"/>
      <c r="Q25" s="18"/>
      <c r="R25" s="18"/>
      <c r="S25" s="18"/>
      <c r="T25" s="18"/>
      <c r="U25" s="18"/>
      <c r="V25" s="18"/>
      <c r="W25" s="19"/>
      <c r="X25" s="19"/>
      <c r="Y25" s="19"/>
      <c r="Z25" s="19"/>
      <c r="AA25" s="19"/>
      <c r="AB25" s="19"/>
      <c r="AC25" s="19"/>
      <c r="AD25" s="19"/>
      <c r="AE25" s="19"/>
    </row>
    <row r="26" spans="1:31" ht="15" customHeight="1" x14ac:dyDescent="0.25">
      <c r="A26" s="18"/>
      <c r="B26" s="18"/>
      <c r="C26" s="18"/>
      <c r="D26" s="18"/>
      <c r="E26" s="18"/>
      <c r="F26" s="18"/>
      <c r="G26" s="18"/>
      <c r="H26" s="18"/>
      <c r="I26" s="18"/>
      <c r="J26" s="18"/>
      <c r="K26" s="18"/>
      <c r="L26" s="18"/>
      <c r="M26" s="18"/>
      <c r="N26" s="18"/>
      <c r="O26" s="18"/>
      <c r="P26" s="18"/>
      <c r="Q26" s="18"/>
      <c r="R26" s="18"/>
      <c r="S26" s="18"/>
      <c r="T26" s="18"/>
      <c r="U26" s="18"/>
      <c r="V26" s="18"/>
      <c r="W26" s="19"/>
      <c r="X26" s="19"/>
      <c r="Y26" s="19"/>
      <c r="Z26" s="19"/>
      <c r="AA26" s="19"/>
      <c r="AB26" s="19"/>
      <c r="AC26" s="19"/>
      <c r="AD26" s="19"/>
      <c r="AE26" s="19"/>
    </row>
    <row r="27" spans="1:31" ht="15" customHeight="1" x14ac:dyDescent="0.25">
      <c r="A27" s="18"/>
      <c r="B27" s="18"/>
      <c r="C27" s="18"/>
      <c r="D27" s="18"/>
      <c r="E27" s="18"/>
      <c r="F27" s="18"/>
      <c r="G27" s="18"/>
      <c r="H27" s="18"/>
      <c r="I27" s="18"/>
      <c r="J27" s="18"/>
      <c r="K27" s="18"/>
      <c r="L27" s="18"/>
      <c r="M27" s="18"/>
      <c r="N27" s="18"/>
      <c r="O27" s="18"/>
      <c r="P27" s="18"/>
      <c r="Q27" s="18"/>
      <c r="R27" s="18"/>
      <c r="S27" s="18"/>
      <c r="T27" s="18"/>
      <c r="U27" s="18"/>
      <c r="V27" s="18"/>
      <c r="W27" s="19"/>
      <c r="X27" s="19"/>
      <c r="Y27" s="19"/>
      <c r="Z27" s="19"/>
      <c r="AA27" s="19"/>
      <c r="AB27" s="19"/>
      <c r="AC27" s="19"/>
      <c r="AD27" s="19"/>
      <c r="AE27" s="19"/>
    </row>
    <row r="28" spans="1:31" ht="15" customHeight="1" x14ac:dyDescent="0.25">
      <c r="A28" s="18"/>
      <c r="B28" s="18"/>
      <c r="C28" s="18"/>
      <c r="D28" s="18"/>
      <c r="E28" s="18"/>
      <c r="F28" s="18"/>
      <c r="G28" s="18"/>
      <c r="H28" s="18"/>
      <c r="I28" s="18"/>
      <c r="J28" s="18"/>
      <c r="K28" s="18"/>
      <c r="L28" s="18"/>
      <c r="M28" s="18"/>
      <c r="N28" s="18"/>
      <c r="O28" s="18"/>
      <c r="P28" s="18"/>
      <c r="Q28" s="18"/>
      <c r="R28" s="18"/>
      <c r="S28" s="18"/>
      <c r="T28" s="18"/>
      <c r="U28" s="18"/>
      <c r="V28" s="18"/>
      <c r="W28" s="19"/>
      <c r="X28" s="19"/>
      <c r="Y28" s="19"/>
      <c r="Z28" s="19"/>
      <c r="AA28" s="19"/>
      <c r="AB28" s="19"/>
      <c r="AC28" s="19"/>
      <c r="AD28" s="19"/>
      <c r="AE28" s="19"/>
    </row>
    <row r="29" spans="1:31" ht="15" customHeight="1" x14ac:dyDescent="0.25">
      <c r="A29" s="18"/>
      <c r="B29" s="18"/>
      <c r="C29" s="18"/>
      <c r="D29" s="18"/>
      <c r="E29" s="18"/>
      <c r="F29" s="18"/>
      <c r="G29" s="18"/>
      <c r="H29" s="18"/>
      <c r="I29" s="18"/>
      <c r="J29" s="18"/>
      <c r="K29" s="18"/>
      <c r="L29" s="18"/>
      <c r="M29" s="18"/>
      <c r="N29" s="18"/>
      <c r="O29" s="18"/>
      <c r="P29" s="18"/>
      <c r="Q29" s="18"/>
      <c r="R29" s="18"/>
      <c r="S29" s="18"/>
      <c r="T29" s="18"/>
      <c r="U29" s="18"/>
      <c r="V29" s="18"/>
      <c r="W29" s="19"/>
      <c r="X29" s="19"/>
      <c r="Y29" s="19"/>
      <c r="Z29" s="19"/>
      <c r="AA29" s="19"/>
      <c r="AB29" s="19"/>
      <c r="AC29" s="19"/>
      <c r="AD29" s="19"/>
      <c r="AE29" s="19"/>
    </row>
    <row r="30" spans="1:31" ht="15" customHeight="1" x14ac:dyDescent="0.25">
      <c r="A30" s="18"/>
      <c r="B30" s="18"/>
      <c r="C30" s="18"/>
      <c r="D30" s="18"/>
      <c r="E30" s="18"/>
      <c r="F30" s="18"/>
      <c r="G30" s="18"/>
      <c r="H30" s="18"/>
      <c r="I30" s="18"/>
      <c r="J30" s="18"/>
      <c r="K30" s="18"/>
      <c r="L30" s="18"/>
      <c r="M30" s="18"/>
      <c r="N30" s="18"/>
      <c r="O30" s="18"/>
      <c r="P30" s="18"/>
      <c r="Q30" s="18"/>
      <c r="R30" s="18"/>
      <c r="S30" s="18"/>
      <c r="T30" s="18"/>
      <c r="U30" s="18"/>
      <c r="V30" s="18"/>
      <c r="W30" s="19"/>
      <c r="X30" s="19"/>
      <c r="Y30" s="19"/>
      <c r="Z30" s="19"/>
      <c r="AA30" s="19"/>
      <c r="AB30" s="19"/>
      <c r="AC30" s="19"/>
      <c r="AD30" s="19"/>
      <c r="AE30" s="19"/>
    </row>
    <row r="31" spans="1:31" ht="15" customHeight="1" x14ac:dyDescent="0.25">
      <c r="A31" s="18"/>
      <c r="B31" s="18"/>
      <c r="C31" s="18"/>
      <c r="D31" s="18"/>
      <c r="E31" s="18"/>
      <c r="F31" s="18"/>
      <c r="G31" s="18"/>
      <c r="H31" s="18"/>
      <c r="I31" s="18"/>
      <c r="J31" s="18"/>
      <c r="K31" s="18"/>
      <c r="L31" s="18"/>
      <c r="M31" s="18"/>
      <c r="N31" s="18"/>
      <c r="O31" s="18"/>
      <c r="P31" s="18"/>
      <c r="Q31" s="18"/>
      <c r="R31" s="18"/>
      <c r="S31" s="18"/>
      <c r="T31" s="18"/>
      <c r="U31" s="18"/>
      <c r="V31" s="18"/>
      <c r="W31" s="19"/>
      <c r="X31" s="19"/>
      <c r="Y31" s="19"/>
      <c r="Z31" s="19"/>
      <c r="AA31" s="19"/>
      <c r="AB31" s="19"/>
      <c r="AC31" s="19"/>
      <c r="AD31" s="19"/>
      <c r="AE31" s="19"/>
    </row>
    <row r="32" spans="1:31" ht="15" customHeight="1" x14ac:dyDescent="0.25">
      <c r="A32" s="18"/>
      <c r="B32" s="18"/>
      <c r="C32" s="18"/>
      <c r="D32" s="18"/>
      <c r="E32" s="18"/>
      <c r="F32" s="18"/>
      <c r="G32" s="18"/>
      <c r="H32" s="18"/>
      <c r="I32" s="18"/>
      <c r="J32" s="18"/>
      <c r="K32" s="18"/>
      <c r="L32" s="18"/>
      <c r="M32" s="18"/>
      <c r="N32" s="18"/>
      <c r="O32" s="18"/>
      <c r="P32" s="18"/>
      <c r="Q32" s="18"/>
      <c r="R32" s="18"/>
      <c r="S32" s="18"/>
      <c r="T32" s="18"/>
      <c r="U32" s="18"/>
      <c r="V32" s="18"/>
      <c r="W32" s="19"/>
      <c r="X32" s="19"/>
      <c r="Y32" s="19"/>
      <c r="Z32" s="19"/>
      <c r="AA32" s="19"/>
      <c r="AB32" s="19"/>
      <c r="AC32" s="19"/>
      <c r="AD32" s="19"/>
      <c r="AE32" s="19"/>
    </row>
    <row r="33" spans="1:31" ht="15" customHeight="1" x14ac:dyDescent="0.25">
      <c r="A33" s="18"/>
      <c r="B33" s="18"/>
      <c r="C33" s="18"/>
      <c r="D33" s="18"/>
      <c r="E33" s="18"/>
      <c r="F33" s="18"/>
      <c r="G33" s="18"/>
      <c r="H33" s="18"/>
      <c r="I33" s="18"/>
      <c r="J33" s="18"/>
      <c r="K33" s="18"/>
      <c r="L33" s="18"/>
      <c r="M33" s="18"/>
      <c r="N33" s="18"/>
      <c r="O33" s="18"/>
      <c r="P33" s="18"/>
      <c r="Q33" s="18"/>
      <c r="R33" s="18"/>
      <c r="S33" s="18"/>
      <c r="T33" s="18"/>
      <c r="U33" s="18"/>
      <c r="V33" s="18"/>
      <c r="W33" s="19"/>
      <c r="X33" s="19"/>
      <c r="Y33" s="19"/>
      <c r="Z33" s="19"/>
      <c r="AA33" s="19"/>
      <c r="AB33" s="19"/>
      <c r="AC33" s="19"/>
      <c r="AD33" s="19"/>
      <c r="AE33" s="19"/>
    </row>
    <row r="34" spans="1:31" ht="15" customHeight="1" x14ac:dyDescent="0.25">
      <c r="A34" s="18"/>
      <c r="B34" s="18"/>
      <c r="C34" s="18"/>
      <c r="D34" s="18"/>
      <c r="E34" s="18"/>
      <c r="F34" s="18"/>
      <c r="G34" s="18"/>
      <c r="H34" s="18"/>
      <c r="I34" s="18"/>
      <c r="J34" s="18"/>
      <c r="K34" s="18"/>
      <c r="L34" s="18"/>
      <c r="M34" s="18"/>
      <c r="N34" s="18"/>
      <c r="O34" s="18"/>
      <c r="P34" s="18"/>
      <c r="Q34" s="18"/>
      <c r="R34" s="18"/>
      <c r="S34" s="18"/>
      <c r="T34" s="18"/>
      <c r="U34" s="18"/>
      <c r="V34" s="18"/>
      <c r="W34" s="19"/>
      <c r="X34" s="19"/>
      <c r="Y34" s="19"/>
      <c r="Z34" s="19"/>
      <c r="AA34" s="19"/>
      <c r="AB34" s="19"/>
      <c r="AC34" s="19"/>
      <c r="AD34" s="19"/>
      <c r="AE34" s="19"/>
    </row>
    <row r="35" spans="1:31" ht="15" customHeight="1" x14ac:dyDescent="0.25">
      <c r="A35" s="18"/>
      <c r="B35" s="18"/>
      <c r="C35" s="18"/>
      <c r="D35" s="18"/>
      <c r="E35" s="18"/>
      <c r="F35" s="18"/>
      <c r="G35" s="18"/>
      <c r="H35" s="18"/>
      <c r="I35" s="18"/>
      <c r="J35" s="18"/>
      <c r="K35" s="18"/>
      <c r="L35" s="18"/>
      <c r="M35" s="18"/>
      <c r="N35" s="18"/>
      <c r="O35" s="18"/>
      <c r="P35" s="18"/>
      <c r="Q35" s="18"/>
      <c r="R35" s="18"/>
      <c r="S35" s="18"/>
      <c r="T35" s="18"/>
      <c r="U35" s="18"/>
      <c r="V35" s="18"/>
      <c r="W35" s="19"/>
      <c r="X35" s="19"/>
      <c r="Y35" s="19"/>
      <c r="Z35" s="19"/>
      <c r="AA35" s="19"/>
      <c r="AB35" s="19"/>
      <c r="AC35" s="19"/>
      <c r="AD35" s="19"/>
      <c r="AE35" s="19"/>
    </row>
    <row r="36" spans="1:31" ht="15" customHeight="1" x14ac:dyDescent="0.25">
      <c r="A36" s="18"/>
      <c r="B36" s="18"/>
      <c r="C36" s="18"/>
      <c r="D36" s="18"/>
      <c r="E36" s="18"/>
      <c r="F36" s="18"/>
      <c r="G36" s="18"/>
      <c r="H36" s="18"/>
      <c r="I36" s="18"/>
      <c r="J36" s="18"/>
      <c r="K36" s="18"/>
      <c r="L36" s="18"/>
      <c r="M36" s="18"/>
      <c r="N36" s="18"/>
      <c r="O36" s="18"/>
      <c r="P36" s="18"/>
      <c r="Q36" s="18"/>
      <c r="R36" s="18"/>
      <c r="S36" s="18"/>
      <c r="T36" s="18"/>
      <c r="U36" s="18"/>
      <c r="V36" s="18"/>
      <c r="W36" s="19"/>
      <c r="X36" s="19"/>
      <c r="Y36" s="19"/>
      <c r="Z36" s="19"/>
      <c r="AA36" s="19"/>
      <c r="AB36" s="19"/>
      <c r="AC36" s="19"/>
      <c r="AD36" s="19"/>
      <c r="AE36" s="19"/>
    </row>
    <row r="37" spans="1:31" ht="15" customHeight="1" x14ac:dyDescent="0.25">
      <c r="A37" s="18"/>
      <c r="B37" s="18"/>
      <c r="C37" s="18"/>
      <c r="D37" s="18"/>
      <c r="E37" s="18"/>
      <c r="F37" s="18"/>
      <c r="G37" s="18"/>
      <c r="H37" s="18"/>
      <c r="I37" s="18"/>
      <c r="J37" s="18"/>
      <c r="K37" s="18"/>
      <c r="L37" s="18"/>
      <c r="M37" s="18"/>
      <c r="N37" s="18"/>
      <c r="O37" s="18"/>
      <c r="P37" s="18"/>
      <c r="Q37" s="18"/>
      <c r="R37" s="18"/>
      <c r="S37" s="18"/>
      <c r="T37" s="18"/>
      <c r="U37" s="18"/>
      <c r="V37" s="18"/>
      <c r="W37" s="19"/>
      <c r="X37" s="19"/>
      <c r="Y37" s="19"/>
      <c r="Z37" s="19"/>
      <c r="AA37" s="19"/>
      <c r="AB37" s="19"/>
      <c r="AC37" s="19"/>
      <c r="AD37" s="19"/>
      <c r="AE37" s="19"/>
    </row>
    <row r="38" spans="1:31" ht="15" customHeight="1" x14ac:dyDescent="0.25">
      <c r="A38" s="18"/>
      <c r="B38" s="18"/>
      <c r="C38" s="18"/>
      <c r="D38" s="18"/>
      <c r="E38" s="18"/>
      <c r="F38" s="18"/>
      <c r="G38" s="18"/>
      <c r="H38" s="18"/>
      <c r="I38" s="18"/>
      <c r="J38" s="18"/>
      <c r="K38" s="18"/>
      <c r="L38" s="18"/>
      <c r="M38" s="18"/>
      <c r="N38" s="18"/>
      <c r="O38" s="18"/>
      <c r="P38" s="18"/>
      <c r="Q38" s="18"/>
      <c r="R38" s="18"/>
      <c r="S38" s="18"/>
      <c r="T38" s="18"/>
      <c r="U38" s="18"/>
      <c r="V38" s="18"/>
      <c r="W38" s="19"/>
      <c r="X38" s="19"/>
      <c r="Y38" s="19"/>
      <c r="Z38" s="19"/>
      <c r="AA38" s="19"/>
      <c r="AB38" s="19"/>
      <c r="AC38" s="19"/>
      <c r="AD38" s="19"/>
      <c r="AE38" s="19"/>
    </row>
    <row r="39" spans="1:31" ht="42.75" customHeight="1" x14ac:dyDescent="0.25">
      <c r="A39" s="18"/>
      <c r="B39" s="18"/>
      <c r="C39" s="18"/>
      <c r="D39" s="18"/>
      <c r="E39" s="18"/>
      <c r="F39" s="18"/>
      <c r="G39" s="18"/>
      <c r="H39" s="18"/>
      <c r="I39" s="18"/>
      <c r="J39" s="18"/>
      <c r="K39" s="18"/>
      <c r="L39" s="18"/>
      <c r="M39" s="18"/>
      <c r="N39" s="18"/>
      <c r="O39" s="18"/>
      <c r="P39" s="18"/>
      <c r="Q39" s="18"/>
      <c r="R39" s="18"/>
      <c r="S39" s="18"/>
      <c r="T39" s="18"/>
      <c r="U39" s="18"/>
      <c r="V39" s="18"/>
    </row>
    <row r="40" spans="1:31" ht="6" customHeight="1" x14ac:dyDescent="0.25">
      <c r="A40" s="18"/>
      <c r="B40" s="18"/>
      <c r="C40" s="18"/>
      <c r="D40" s="18"/>
      <c r="E40" s="18"/>
      <c r="F40" s="18"/>
      <c r="G40" s="18"/>
      <c r="H40" s="18"/>
      <c r="I40" s="18"/>
      <c r="J40" s="18"/>
      <c r="K40" s="18"/>
      <c r="L40" s="18"/>
      <c r="M40" s="18"/>
      <c r="N40" s="18"/>
      <c r="O40" s="18"/>
      <c r="P40" s="18"/>
      <c r="Q40" s="18"/>
      <c r="R40" s="18"/>
      <c r="S40" s="18"/>
      <c r="T40" s="18"/>
      <c r="U40" s="18"/>
      <c r="V40" s="18"/>
    </row>
    <row r="41" spans="1:31" ht="15" hidden="1" customHeight="1" x14ac:dyDescent="0.25">
      <c r="A41" s="18"/>
      <c r="B41" s="18"/>
      <c r="C41" s="18"/>
      <c r="D41" s="18"/>
      <c r="E41" s="18"/>
      <c r="F41" s="18"/>
      <c r="G41" s="18"/>
      <c r="H41" s="18"/>
      <c r="I41" s="18"/>
      <c r="J41" s="18"/>
      <c r="K41" s="18"/>
      <c r="L41" s="18"/>
      <c r="M41" s="18"/>
      <c r="N41" s="18"/>
      <c r="O41" s="18"/>
      <c r="P41" s="18"/>
      <c r="Q41" s="18"/>
      <c r="R41" s="18"/>
      <c r="S41" s="18"/>
      <c r="T41" s="18"/>
      <c r="U41" s="18"/>
      <c r="V41" s="18"/>
    </row>
    <row r="42" spans="1:31" ht="15" hidden="1" customHeight="1" x14ac:dyDescent="0.25">
      <c r="A42" s="18"/>
      <c r="B42" s="18"/>
      <c r="C42" s="18"/>
      <c r="D42" s="18"/>
      <c r="E42" s="18"/>
      <c r="F42" s="18"/>
      <c r="G42" s="18"/>
      <c r="H42" s="18"/>
      <c r="I42" s="18"/>
      <c r="J42" s="18"/>
      <c r="K42" s="18"/>
      <c r="L42" s="18"/>
      <c r="M42" s="18"/>
      <c r="N42" s="18"/>
      <c r="O42" s="18"/>
      <c r="P42" s="18"/>
      <c r="Q42" s="18"/>
      <c r="R42" s="18"/>
      <c r="S42" s="18"/>
      <c r="T42" s="18"/>
      <c r="U42" s="18"/>
      <c r="V42" s="18"/>
    </row>
    <row r="43" spans="1:31" ht="15" hidden="1" customHeight="1" x14ac:dyDescent="0.25">
      <c r="A43" s="18"/>
      <c r="B43" s="18"/>
      <c r="C43" s="18"/>
      <c r="D43" s="18"/>
      <c r="E43" s="18"/>
      <c r="F43" s="18"/>
      <c r="G43" s="18"/>
      <c r="H43" s="18"/>
      <c r="I43" s="18"/>
      <c r="J43" s="18"/>
      <c r="K43" s="18"/>
      <c r="L43" s="18"/>
      <c r="M43" s="18"/>
      <c r="N43" s="18"/>
      <c r="O43" s="18"/>
      <c r="P43" s="18"/>
      <c r="Q43" s="18"/>
      <c r="R43" s="18"/>
      <c r="S43" s="18"/>
      <c r="T43" s="18"/>
      <c r="U43" s="18"/>
      <c r="V43" s="18"/>
    </row>
    <row r="44" spans="1:31" ht="15" hidden="1" customHeight="1" x14ac:dyDescent="0.25">
      <c r="A44" s="18"/>
      <c r="B44" s="18"/>
      <c r="C44" s="18"/>
      <c r="D44" s="18"/>
      <c r="E44" s="18"/>
      <c r="F44" s="18"/>
      <c r="G44" s="18"/>
      <c r="H44" s="18"/>
      <c r="I44" s="18"/>
      <c r="J44" s="18"/>
      <c r="K44" s="18"/>
      <c r="L44" s="18"/>
      <c r="M44" s="18"/>
      <c r="N44" s="18"/>
      <c r="O44" s="18"/>
      <c r="P44" s="18"/>
      <c r="Q44" s="18"/>
      <c r="R44" s="18"/>
      <c r="S44" s="18"/>
      <c r="T44" s="18"/>
      <c r="U44" s="18"/>
      <c r="V44" s="18"/>
    </row>
    <row r="45" spans="1:31" ht="15" hidden="1" customHeight="1" x14ac:dyDescent="0.25">
      <c r="A45" s="18"/>
      <c r="B45" s="18"/>
      <c r="C45" s="18"/>
      <c r="D45" s="18"/>
      <c r="E45" s="18"/>
      <c r="F45" s="18"/>
      <c r="G45" s="18"/>
      <c r="H45" s="18"/>
      <c r="I45" s="18"/>
      <c r="J45" s="18"/>
      <c r="K45" s="18"/>
      <c r="L45" s="18"/>
      <c r="M45" s="18"/>
      <c r="N45" s="18"/>
      <c r="O45" s="18"/>
      <c r="P45" s="18"/>
      <c r="Q45" s="18"/>
      <c r="R45" s="18"/>
      <c r="S45" s="18"/>
      <c r="T45" s="18"/>
      <c r="U45" s="18"/>
      <c r="V45" s="18"/>
    </row>
    <row r="46" spans="1:31" ht="15" hidden="1" customHeight="1" x14ac:dyDescent="0.25">
      <c r="A46" s="18"/>
      <c r="B46" s="18"/>
      <c r="C46" s="18"/>
      <c r="D46" s="18"/>
      <c r="E46" s="18"/>
      <c r="F46" s="18"/>
      <c r="G46" s="18"/>
      <c r="H46" s="18"/>
      <c r="I46" s="18"/>
      <c r="J46" s="18"/>
      <c r="K46" s="18"/>
      <c r="L46" s="18"/>
      <c r="M46" s="18"/>
      <c r="N46" s="18"/>
      <c r="O46" s="18"/>
      <c r="P46" s="18"/>
      <c r="Q46" s="18"/>
      <c r="R46" s="18"/>
      <c r="S46" s="18"/>
      <c r="T46" s="18"/>
      <c r="U46" s="18"/>
      <c r="V46" s="18"/>
    </row>
    <row r="47" spans="1:31" ht="15" hidden="1" customHeight="1" x14ac:dyDescent="0.25">
      <c r="A47" s="18"/>
      <c r="B47" s="18"/>
      <c r="C47" s="18"/>
      <c r="D47" s="18"/>
      <c r="E47" s="18"/>
      <c r="F47" s="18"/>
      <c r="G47" s="18"/>
      <c r="H47" s="18"/>
      <c r="I47" s="18"/>
      <c r="J47" s="18"/>
      <c r="K47" s="18"/>
      <c r="L47" s="18"/>
      <c r="M47" s="18"/>
      <c r="N47" s="18"/>
      <c r="O47" s="18"/>
      <c r="P47" s="18"/>
      <c r="Q47" s="18"/>
      <c r="R47" s="18"/>
      <c r="S47" s="18"/>
      <c r="T47" s="18"/>
      <c r="U47" s="18"/>
      <c r="V47" s="18"/>
    </row>
    <row r="48" spans="1:31" ht="15" hidden="1" customHeight="1" x14ac:dyDescent="0.25">
      <c r="A48" s="18"/>
      <c r="B48" s="18"/>
      <c r="C48" s="18"/>
      <c r="D48" s="18"/>
      <c r="E48" s="18"/>
      <c r="F48" s="18"/>
      <c r="G48" s="18"/>
      <c r="H48" s="18"/>
      <c r="I48" s="18"/>
      <c r="J48" s="18"/>
      <c r="K48" s="18"/>
      <c r="L48" s="18"/>
      <c r="M48" s="18"/>
      <c r="N48" s="18"/>
      <c r="O48" s="18"/>
      <c r="P48" s="18"/>
      <c r="Q48" s="18"/>
      <c r="R48" s="18"/>
      <c r="S48" s="18"/>
      <c r="T48" s="18"/>
      <c r="U48" s="18"/>
      <c r="V48" s="18"/>
    </row>
    <row r="49" spans="1:22" ht="15" hidden="1" customHeight="1" x14ac:dyDescent="0.25">
      <c r="A49" s="18"/>
      <c r="B49" s="18"/>
      <c r="C49" s="18"/>
      <c r="D49" s="18"/>
      <c r="E49" s="18"/>
      <c r="F49" s="18"/>
      <c r="G49" s="18"/>
      <c r="H49" s="18"/>
      <c r="I49" s="18"/>
      <c r="J49" s="18"/>
      <c r="K49" s="18"/>
      <c r="L49" s="18"/>
      <c r="M49" s="18"/>
      <c r="N49" s="18"/>
      <c r="O49" s="18"/>
      <c r="P49" s="18"/>
      <c r="Q49" s="18"/>
      <c r="R49" s="18"/>
      <c r="S49" s="18"/>
      <c r="T49" s="18"/>
      <c r="U49" s="18"/>
      <c r="V49" s="18"/>
    </row>
    <row r="50" spans="1:22" ht="15" hidden="1" customHeight="1" x14ac:dyDescent="0.25">
      <c r="A50" s="18"/>
      <c r="B50" s="18"/>
      <c r="C50" s="18"/>
      <c r="D50" s="18"/>
      <c r="E50" s="18"/>
      <c r="F50" s="18"/>
      <c r="G50" s="18"/>
      <c r="H50" s="18"/>
      <c r="I50" s="18"/>
      <c r="J50" s="18"/>
      <c r="K50" s="18"/>
      <c r="L50" s="18"/>
      <c r="M50" s="18"/>
      <c r="N50" s="18"/>
      <c r="O50" s="18"/>
      <c r="P50" s="18"/>
      <c r="Q50" s="18"/>
      <c r="R50" s="18"/>
      <c r="S50" s="18"/>
      <c r="T50" s="18"/>
      <c r="U50" s="18"/>
      <c r="V50" s="18"/>
    </row>
    <row r="51" spans="1:22" ht="15" hidden="1" customHeight="1" x14ac:dyDescent="0.25">
      <c r="A51" s="18"/>
      <c r="B51" s="18"/>
      <c r="C51" s="18"/>
      <c r="D51" s="18"/>
      <c r="E51" s="18"/>
      <c r="F51" s="18"/>
      <c r="G51" s="18"/>
      <c r="H51" s="18"/>
      <c r="I51" s="18"/>
      <c r="J51" s="18"/>
      <c r="K51" s="18"/>
      <c r="L51" s="18"/>
      <c r="M51" s="18"/>
      <c r="N51" s="18"/>
      <c r="O51" s="18"/>
      <c r="P51" s="18"/>
      <c r="Q51" s="18"/>
      <c r="R51" s="18"/>
      <c r="S51" s="18"/>
      <c r="T51" s="18"/>
      <c r="U51" s="18"/>
      <c r="V51" s="18"/>
    </row>
    <row r="52" spans="1:22" ht="15" hidden="1" customHeight="1" x14ac:dyDescent="0.25">
      <c r="A52" s="18"/>
      <c r="B52" s="18"/>
      <c r="C52" s="18"/>
      <c r="D52" s="18"/>
      <c r="E52" s="18"/>
      <c r="F52" s="18"/>
      <c r="G52" s="18"/>
      <c r="H52" s="18"/>
      <c r="I52" s="18"/>
      <c r="J52" s="18"/>
      <c r="K52" s="18"/>
      <c r="L52" s="18"/>
      <c r="M52" s="18"/>
      <c r="N52" s="18"/>
      <c r="O52" s="18"/>
      <c r="P52" s="18"/>
      <c r="Q52" s="18"/>
      <c r="R52" s="18"/>
      <c r="S52" s="18"/>
      <c r="T52" s="18"/>
      <c r="U52" s="18"/>
      <c r="V52" s="18"/>
    </row>
    <row r="53" spans="1:22" ht="15" hidden="1" customHeight="1" x14ac:dyDescent="0.25">
      <c r="A53" s="18"/>
      <c r="B53" s="18"/>
      <c r="C53" s="18"/>
      <c r="D53" s="18"/>
      <c r="E53" s="18"/>
      <c r="F53" s="18"/>
      <c r="G53" s="18"/>
      <c r="H53" s="18"/>
      <c r="I53" s="18"/>
      <c r="J53" s="18"/>
      <c r="K53" s="18"/>
      <c r="L53" s="18"/>
      <c r="M53" s="18"/>
      <c r="N53" s="18"/>
      <c r="O53" s="18"/>
      <c r="P53" s="18"/>
      <c r="Q53" s="18"/>
      <c r="R53" s="18"/>
      <c r="S53" s="18"/>
      <c r="T53" s="18"/>
      <c r="U53" s="18"/>
      <c r="V53" s="18"/>
    </row>
    <row r="54" spans="1:22" ht="15" hidden="1" customHeight="1" x14ac:dyDescent="0.25">
      <c r="A54" s="18"/>
      <c r="B54" s="18"/>
      <c r="C54" s="18"/>
      <c r="D54" s="18"/>
      <c r="E54" s="18"/>
      <c r="F54" s="18"/>
      <c r="G54" s="18"/>
      <c r="H54" s="18"/>
      <c r="I54" s="18"/>
      <c r="J54" s="18"/>
      <c r="K54" s="18"/>
      <c r="L54" s="18"/>
      <c r="M54" s="18"/>
      <c r="N54" s="18"/>
      <c r="O54" s="18"/>
      <c r="P54" s="18"/>
      <c r="Q54" s="18"/>
      <c r="R54" s="18"/>
      <c r="S54" s="18"/>
      <c r="T54" s="18"/>
      <c r="U54" s="18"/>
      <c r="V54" s="18"/>
    </row>
    <row r="55" spans="1:22" ht="15" hidden="1" customHeight="1" x14ac:dyDescent="0.25">
      <c r="A55" s="18"/>
      <c r="B55" s="18"/>
      <c r="C55" s="18"/>
      <c r="D55" s="18"/>
      <c r="E55" s="18"/>
      <c r="F55" s="18"/>
      <c r="G55" s="18"/>
      <c r="H55" s="18"/>
      <c r="I55" s="18"/>
      <c r="J55" s="18"/>
      <c r="K55" s="18"/>
      <c r="L55" s="18"/>
      <c r="M55" s="18"/>
      <c r="N55" s="18"/>
      <c r="O55" s="18"/>
      <c r="P55" s="18"/>
      <c r="Q55" s="18"/>
      <c r="R55" s="18"/>
      <c r="S55" s="18"/>
      <c r="T55" s="18"/>
      <c r="U55" s="18"/>
      <c r="V55" s="18"/>
    </row>
    <row r="56" spans="1:22" ht="5.25" hidden="1" customHeight="1" x14ac:dyDescent="0.25">
      <c r="A56" s="18"/>
      <c r="B56" s="18"/>
      <c r="C56" s="18"/>
      <c r="D56" s="18"/>
      <c r="E56" s="18"/>
      <c r="F56" s="18"/>
      <c r="G56" s="18"/>
      <c r="H56" s="18"/>
      <c r="I56" s="18"/>
      <c r="J56" s="18"/>
      <c r="K56" s="18"/>
      <c r="L56" s="18"/>
      <c r="M56" s="18"/>
      <c r="N56" s="18"/>
      <c r="O56" s="18"/>
      <c r="P56" s="18"/>
      <c r="Q56" s="18"/>
      <c r="R56" s="18"/>
      <c r="S56" s="18"/>
      <c r="T56" s="18"/>
      <c r="U56" s="18"/>
      <c r="V56" s="18"/>
    </row>
    <row r="57" spans="1:22" ht="15" hidden="1" customHeight="1" x14ac:dyDescent="0.25">
      <c r="A57" s="18"/>
      <c r="B57" s="18"/>
      <c r="C57" s="18"/>
      <c r="D57" s="18"/>
      <c r="E57" s="18"/>
      <c r="F57" s="18"/>
      <c r="G57" s="18"/>
      <c r="H57" s="18"/>
      <c r="I57" s="18"/>
      <c r="J57" s="18"/>
      <c r="K57" s="18"/>
      <c r="L57" s="18"/>
      <c r="M57" s="18"/>
      <c r="N57" s="18"/>
      <c r="O57" s="18"/>
      <c r="P57" s="18"/>
      <c r="Q57" s="18"/>
      <c r="R57" s="18"/>
      <c r="S57" s="18"/>
      <c r="T57" s="18"/>
      <c r="U57" s="18"/>
      <c r="V57" s="18"/>
    </row>
    <row r="58" spans="1:22" ht="15" hidden="1" customHeight="1" x14ac:dyDescent="0.25">
      <c r="A58" s="18"/>
      <c r="B58" s="18"/>
      <c r="C58" s="18"/>
      <c r="D58" s="18"/>
      <c r="E58" s="18"/>
      <c r="F58" s="18"/>
      <c r="G58" s="18"/>
      <c r="H58" s="18"/>
      <c r="I58" s="18"/>
      <c r="J58" s="18"/>
      <c r="K58" s="18"/>
      <c r="L58" s="18"/>
      <c r="M58" s="18"/>
      <c r="N58" s="18"/>
      <c r="O58" s="18"/>
      <c r="P58" s="18"/>
      <c r="Q58" s="18"/>
      <c r="R58" s="18"/>
      <c r="S58" s="18"/>
      <c r="T58" s="18"/>
      <c r="U58" s="18"/>
      <c r="V58" s="18"/>
    </row>
    <row r="59" spans="1:22" ht="15" hidden="1" customHeight="1" x14ac:dyDescent="0.25">
      <c r="A59" s="18"/>
      <c r="B59" s="18"/>
      <c r="C59" s="18"/>
      <c r="D59" s="18"/>
      <c r="E59" s="18"/>
      <c r="F59" s="18"/>
      <c r="G59" s="18"/>
      <c r="H59" s="18"/>
      <c r="I59" s="18"/>
      <c r="J59" s="18"/>
      <c r="K59" s="18"/>
      <c r="L59" s="18"/>
      <c r="M59" s="18"/>
      <c r="N59" s="18"/>
      <c r="O59" s="18"/>
      <c r="P59" s="18"/>
      <c r="Q59" s="18"/>
      <c r="R59" s="18"/>
      <c r="S59" s="18"/>
      <c r="T59" s="18"/>
      <c r="U59" s="18"/>
      <c r="V59" s="18"/>
    </row>
    <row r="60" spans="1:22" ht="15" hidden="1" customHeight="1" x14ac:dyDescent="0.25">
      <c r="A60" s="18"/>
      <c r="B60" s="18"/>
      <c r="C60" s="18"/>
      <c r="D60" s="18"/>
      <c r="E60" s="18"/>
      <c r="F60" s="18"/>
      <c r="G60" s="18"/>
      <c r="H60" s="18"/>
      <c r="I60" s="18"/>
      <c r="J60" s="18"/>
      <c r="K60" s="18"/>
      <c r="L60" s="18"/>
      <c r="M60" s="18"/>
      <c r="N60" s="18"/>
      <c r="O60" s="18"/>
      <c r="P60" s="18"/>
      <c r="Q60" s="18"/>
      <c r="R60" s="18"/>
      <c r="S60" s="18"/>
      <c r="T60" s="18"/>
      <c r="U60" s="18"/>
      <c r="V60" s="18"/>
    </row>
    <row r="61" spans="1:22" ht="15" hidden="1" customHeight="1" x14ac:dyDescent="0.25">
      <c r="A61" s="18"/>
      <c r="B61" s="18"/>
      <c r="C61" s="18"/>
      <c r="D61" s="18"/>
      <c r="E61" s="18"/>
      <c r="F61" s="18"/>
      <c r="G61" s="18"/>
      <c r="H61" s="18"/>
      <c r="I61" s="18"/>
      <c r="J61" s="18"/>
      <c r="K61" s="18"/>
      <c r="L61" s="18"/>
      <c r="M61" s="18"/>
      <c r="N61" s="18"/>
      <c r="O61" s="18"/>
      <c r="P61" s="18"/>
      <c r="Q61" s="18"/>
      <c r="R61" s="18"/>
      <c r="S61" s="18"/>
      <c r="T61" s="18"/>
      <c r="U61" s="18"/>
      <c r="V61" s="18"/>
    </row>
    <row r="62" spans="1:22" ht="15" hidden="1" customHeight="1" x14ac:dyDescent="0.25">
      <c r="A62" s="18"/>
      <c r="B62" s="18"/>
      <c r="C62" s="18"/>
      <c r="D62" s="18"/>
      <c r="E62" s="18"/>
      <c r="F62" s="18"/>
      <c r="G62" s="18"/>
      <c r="H62" s="18"/>
      <c r="I62" s="18"/>
      <c r="J62" s="18"/>
      <c r="K62" s="18"/>
      <c r="L62" s="18"/>
      <c r="M62" s="18"/>
      <c r="N62" s="18"/>
      <c r="O62" s="18"/>
      <c r="P62" s="18"/>
      <c r="Q62" s="18"/>
      <c r="R62" s="18"/>
      <c r="S62" s="18"/>
      <c r="T62" s="18"/>
      <c r="U62" s="18"/>
      <c r="V62" s="18"/>
    </row>
    <row r="63" spans="1:22" ht="15" hidden="1" customHeight="1" x14ac:dyDescent="0.25">
      <c r="A63" s="18"/>
      <c r="B63" s="18"/>
      <c r="C63" s="18"/>
      <c r="D63" s="18"/>
      <c r="E63" s="18"/>
      <c r="F63" s="18"/>
      <c r="G63" s="18"/>
      <c r="H63" s="18"/>
      <c r="I63" s="18"/>
      <c r="J63" s="18"/>
      <c r="K63" s="18"/>
      <c r="L63" s="18"/>
      <c r="M63" s="18"/>
      <c r="N63" s="18"/>
      <c r="O63" s="18"/>
      <c r="P63" s="18"/>
      <c r="Q63" s="18"/>
      <c r="R63" s="18"/>
      <c r="S63" s="18"/>
      <c r="T63" s="18"/>
      <c r="U63" s="18"/>
      <c r="V63" s="18"/>
    </row>
    <row r="64" spans="1:22" ht="15" hidden="1" customHeight="1" x14ac:dyDescent="0.25">
      <c r="A64" s="18"/>
      <c r="B64" s="18"/>
      <c r="C64" s="18"/>
      <c r="D64" s="18"/>
      <c r="E64" s="18"/>
      <c r="F64" s="18"/>
      <c r="G64" s="18"/>
      <c r="H64" s="18"/>
      <c r="I64" s="18"/>
      <c r="J64" s="18"/>
      <c r="K64" s="18"/>
      <c r="L64" s="18"/>
      <c r="M64" s="18"/>
      <c r="N64" s="18"/>
      <c r="O64" s="18"/>
      <c r="P64" s="18"/>
      <c r="Q64" s="18"/>
      <c r="R64" s="18"/>
      <c r="S64" s="18"/>
      <c r="T64" s="18"/>
      <c r="U64" s="18"/>
      <c r="V64" s="18"/>
    </row>
    <row r="65" spans="1:22" ht="15" hidden="1" customHeight="1" x14ac:dyDescent="0.25">
      <c r="A65" s="18"/>
      <c r="B65" s="18"/>
      <c r="C65" s="18"/>
      <c r="D65" s="18"/>
      <c r="E65" s="18"/>
      <c r="F65" s="18"/>
      <c r="G65" s="18"/>
      <c r="H65" s="18"/>
      <c r="I65" s="18"/>
      <c r="J65" s="18"/>
      <c r="K65" s="18"/>
      <c r="L65" s="18"/>
      <c r="M65" s="18"/>
      <c r="N65" s="18"/>
      <c r="O65" s="18"/>
      <c r="P65" s="18"/>
      <c r="Q65" s="18"/>
      <c r="R65" s="18"/>
      <c r="S65" s="18"/>
      <c r="T65" s="18"/>
      <c r="U65" s="18"/>
      <c r="V65" s="18"/>
    </row>
    <row r="66" spans="1:22" ht="15" hidden="1" customHeight="1" x14ac:dyDescent="0.25">
      <c r="A66" s="18"/>
      <c r="B66" s="18"/>
      <c r="C66" s="18"/>
      <c r="D66" s="18"/>
      <c r="E66" s="18"/>
      <c r="F66" s="18"/>
      <c r="G66" s="18"/>
      <c r="H66" s="18"/>
      <c r="I66" s="18"/>
      <c r="J66" s="18"/>
      <c r="K66" s="18"/>
      <c r="L66" s="18"/>
      <c r="M66" s="18"/>
      <c r="N66" s="18"/>
      <c r="O66" s="18"/>
      <c r="P66" s="18"/>
      <c r="Q66" s="18"/>
      <c r="R66" s="18"/>
      <c r="S66" s="18"/>
      <c r="T66" s="18"/>
      <c r="U66" s="18"/>
      <c r="V66" s="18"/>
    </row>
    <row r="67" spans="1:22" ht="15" hidden="1" customHeight="1" x14ac:dyDescent="0.25">
      <c r="A67" s="18"/>
      <c r="B67" s="18"/>
      <c r="C67" s="18"/>
      <c r="D67" s="18"/>
      <c r="E67" s="18"/>
      <c r="F67" s="18"/>
      <c r="G67" s="18"/>
      <c r="H67" s="18"/>
      <c r="I67" s="18"/>
      <c r="J67" s="18"/>
      <c r="K67" s="18"/>
      <c r="L67" s="18"/>
      <c r="M67" s="18"/>
      <c r="N67" s="18"/>
      <c r="O67" s="18"/>
      <c r="P67" s="18"/>
      <c r="Q67" s="18"/>
      <c r="R67" s="18"/>
      <c r="S67" s="18"/>
      <c r="T67" s="18"/>
      <c r="U67" s="18"/>
      <c r="V67" s="18"/>
    </row>
    <row r="68" spans="1:22" ht="15" hidden="1" customHeight="1" x14ac:dyDescent="0.25">
      <c r="A68" s="18"/>
      <c r="B68" s="18"/>
      <c r="C68" s="18"/>
      <c r="D68" s="18"/>
      <c r="E68" s="18"/>
      <c r="F68" s="18"/>
      <c r="G68" s="18"/>
      <c r="H68" s="18"/>
      <c r="I68" s="18"/>
      <c r="J68" s="18"/>
      <c r="K68" s="18"/>
      <c r="L68" s="18"/>
      <c r="M68" s="18"/>
      <c r="N68" s="18"/>
      <c r="O68" s="18"/>
      <c r="P68" s="18"/>
      <c r="Q68" s="18"/>
      <c r="R68" s="18"/>
      <c r="S68" s="18"/>
      <c r="T68" s="18"/>
      <c r="U68" s="18"/>
      <c r="V68" s="18"/>
    </row>
    <row r="69" spans="1:22" ht="15" hidden="1" customHeight="1" x14ac:dyDescent="0.25">
      <c r="A69" s="18"/>
      <c r="B69" s="18"/>
      <c r="C69" s="18"/>
      <c r="D69" s="18"/>
      <c r="E69" s="18"/>
      <c r="F69" s="18"/>
      <c r="G69" s="18"/>
      <c r="H69" s="18"/>
      <c r="I69" s="18"/>
      <c r="J69" s="18"/>
      <c r="K69" s="18"/>
      <c r="L69" s="18"/>
      <c r="M69" s="18"/>
      <c r="N69" s="18"/>
      <c r="O69" s="18"/>
      <c r="P69" s="18"/>
      <c r="Q69" s="18"/>
      <c r="R69" s="18"/>
      <c r="S69" s="18"/>
      <c r="T69" s="18"/>
      <c r="U69" s="18"/>
      <c r="V69" s="18"/>
    </row>
    <row r="70" spans="1:22" ht="15" hidden="1" customHeight="1" x14ac:dyDescent="0.25">
      <c r="A70" s="18"/>
      <c r="B70" s="18"/>
      <c r="C70" s="18"/>
      <c r="D70" s="18"/>
      <c r="E70" s="18"/>
      <c r="F70" s="18"/>
      <c r="G70" s="18"/>
      <c r="H70" s="18"/>
      <c r="I70" s="18"/>
      <c r="J70" s="18"/>
      <c r="K70" s="18"/>
      <c r="L70" s="18"/>
      <c r="M70" s="18"/>
      <c r="N70" s="18"/>
      <c r="O70" s="18"/>
      <c r="P70" s="18"/>
      <c r="Q70" s="18"/>
      <c r="R70" s="18"/>
      <c r="S70" s="18"/>
      <c r="T70" s="18"/>
      <c r="U70" s="18"/>
      <c r="V70" s="18"/>
    </row>
    <row r="71" spans="1:22" ht="15" hidden="1" customHeight="1" x14ac:dyDescent="0.25">
      <c r="A71" s="18"/>
      <c r="B71" s="18"/>
      <c r="C71" s="18"/>
      <c r="D71" s="18"/>
      <c r="E71" s="18"/>
      <c r="F71" s="18"/>
      <c r="G71" s="18"/>
      <c r="H71" s="18"/>
      <c r="I71" s="18"/>
      <c r="J71" s="18"/>
      <c r="K71" s="18"/>
      <c r="L71" s="18"/>
      <c r="M71" s="18"/>
      <c r="N71" s="18"/>
      <c r="O71" s="18"/>
      <c r="P71" s="18"/>
      <c r="Q71" s="18"/>
      <c r="R71" s="18"/>
      <c r="S71" s="18"/>
      <c r="T71" s="18"/>
      <c r="U71" s="18"/>
      <c r="V71" s="18"/>
    </row>
    <row r="72" spans="1:22" ht="15" hidden="1" customHeight="1" x14ac:dyDescent="0.25">
      <c r="A72" s="18"/>
      <c r="B72" s="18"/>
      <c r="C72" s="18"/>
      <c r="D72" s="18"/>
      <c r="E72" s="18"/>
      <c r="F72" s="18"/>
      <c r="G72" s="18"/>
      <c r="H72" s="18"/>
      <c r="I72" s="18"/>
      <c r="J72" s="18"/>
      <c r="K72" s="18"/>
      <c r="L72" s="18"/>
      <c r="M72" s="18"/>
      <c r="N72" s="18"/>
      <c r="O72" s="18"/>
      <c r="P72" s="18"/>
      <c r="Q72" s="18"/>
      <c r="R72" s="18"/>
      <c r="S72" s="18"/>
      <c r="T72" s="18"/>
      <c r="U72" s="18"/>
      <c r="V72" s="18"/>
    </row>
    <row r="73" spans="1:22" ht="15" hidden="1" customHeight="1" x14ac:dyDescent="0.25">
      <c r="A73" s="18"/>
      <c r="B73" s="18"/>
      <c r="C73" s="18"/>
      <c r="D73" s="18"/>
      <c r="E73" s="18"/>
      <c r="F73" s="18"/>
      <c r="G73" s="18"/>
      <c r="H73" s="18"/>
      <c r="I73" s="18"/>
      <c r="J73" s="18"/>
      <c r="K73" s="18"/>
      <c r="L73" s="18"/>
      <c r="M73" s="18"/>
      <c r="N73" s="18"/>
      <c r="O73" s="18"/>
      <c r="P73" s="18"/>
      <c r="Q73" s="18"/>
      <c r="R73" s="18"/>
      <c r="S73" s="18"/>
      <c r="T73" s="18"/>
      <c r="U73" s="18"/>
      <c r="V73" s="18"/>
    </row>
    <row r="74" spans="1:22" ht="15" hidden="1" customHeight="1" x14ac:dyDescent="0.25">
      <c r="A74" s="18"/>
      <c r="B74" s="18"/>
      <c r="C74" s="18"/>
      <c r="D74" s="18"/>
      <c r="E74" s="18"/>
      <c r="F74" s="18"/>
      <c r="G74" s="18"/>
      <c r="H74" s="18"/>
      <c r="I74" s="18"/>
      <c r="J74" s="18"/>
      <c r="K74" s="18"/>
      <c r="L74" s="18"/>
      <c r="M74" s="18"/>
      <c r="N74" s="18"/>
      <c r="O74" s="18"/>
      <c r="P74" s="18"/>
      <c r="Q74" s="18"/>
      <c r="R74" s="18"/>
      <c r="S74" s="18"/>
      <c r="T74" s="18"/>
      <c r="U74" s="18"/>
      <c r="V74" s="18"/>
    </row>
    <row r="75" spans="1:22" ht="15" hidden="1" customHeight="1" x14ac:dyDescent="0.25">
      <c r="A75" s="18"/>
      <c r="B75" s="18"/>
      <c r="C75" s="18"/>
      <c r="D75" s="18"/>
      <c r="E75" s="18"/>
      <c r="F75" s="18"/>
      <c r="G75" s="18"/>
      <c r="H75" s="18"/>
      <c r="I75" s="18"/>
      <c r="J75" s="18"/>
      <c r="K75" s="18"/>
      <c r="L75" s="18"/>
      <c r="M75" s="18"/>
      <c r="N75" s="18"/>
      <c r="O75" s="18"/>
      <c r="P75" s="18"/>
      <c r="Q75" s="18"/>
      <c r="R75" s="18"/>
      <c r="S75" s="18"/>
      <c r="T75" s="18"/>
      <c r="U75" s="18"/>
      <c r="V75" s="18"/>
    </row>
    <row r="76" spans="1:22" ht="15" hidden="1" customHeight="1" x14ac:dyDescent="0.25">
      <c r="A76" s="18"/>
      <c r="B76" s="18"/>
      <c r="C76" s="18"/>
      <c r="D76" s="18"/>
      <c r="E76" s="18"/>
      <c r="F76" s="18"/>
      <c r="G76" s="18"/>
      <c r="H76" s="18"/>
      <c r="I76" s="18"/>
      <c r="J76" s="18"/>
      <c r="K76" s="18"/>
      <c r="L76" s="18"/>
      <c r="M76" s="18"/>
      <c r="N76" s="18"/>
      <c r="O76" s="18"/>
      <c r="P76" s="18"/>
      <c r="Q76" s="18"/>
      <c r="R76" s="18"/>
      <c r="S76" s="18"/>
      <c r="T76" s="18"/>
      <c r="U76" s="18"/>
      <c r="V76" s="18"/>
    </row>
    <row r="77" spans="1:22" ht="15" hidden="1" customHeight="1" x14ac:dyDescent="0.25">
      <c r="A77" s="18"/>
      <c r="B77" s="18"/>
      <c r="C77" s="18"/>
      <c r="D77" s="18"/>
      <c r="E77" s="18"/>
      <c r="F77" s="18"/>
      <c r="G77" s="18"/>
      <c r="H77" s="18"/>
      <c r="I77" s="18"/>
      <c r="J77" s="18"/>
      <c r="K77" s="18"/>
      <c r="L77" s="18"/>
      <c r="M77" s="18"/>
      <c r="N77" s="18"/>
      <c r="O77" s="18"/>
      <c r="P77" s="18"/>
      <c r="Q77" s="18"/>
      <c r="R77" s="18"/>
      <c r="S77" s="18"/>
      <c r="T77" s="18"/>
      <c r="U77" s="18"/>
      <c r="V77" s="18"/>
    </row>
    <row r="78" spans="1:22" ht="15" hidden="1" customHeight="1" x14ac:dyDescent="0.25">
      <c r="A78" s="18"/>
      <c r="B78" s="18"/>
      <c r="C78" s="18"/>
      <c r="D78" s="18"/>
      <c r="E78" s="18"/>
      <c r="F78" s="18"/>
      <c r="G78" s="18"/>
      <c r="H78" s="18"/>
      <c r="I78" s="18"/>
      <c r="J78" s="18"/>
      <c r="K78" s="18"/>
      <c r="L78" s="18"/>
      <c r="M78" s="18"/>
      <c r="N78" s="18"/>
      <c r="O78" s="18"/>
      <c r="P78" s="18"/>
      <c r="Q78" s="18"/>
      <c r="R78" s="18"/>
      <c r="S78" s="18"/>
      <c r="T78" s="18"/>
      <c r="U78" s="18"/>
      <c r="V78" s="18"/>
    </row>
    <row r="79" spans="1:22" ht="15" hidden="1" customHeight="1" x14ac:dyDescent="0.25">
      <c r="A79" s="18"/>
      <c r="B79" s="18"/>
      <c r="C79" s="18"/>
      <c r="D79" s="18"/>
      <c r="E79" s="18"/>
      <c r="F79" s="18"/>
      <c r="G79" s="18"/>
      <c r="H79" s="18"/>
      <c r="I79" s="18"/>
      <c r="J79" s="18"/>
      <c r="K79" s="18"/>
      <c r="L79" s="18"/>
      <c r="M79" s="18"/>
      <c r="N79" s="18"/>
      <c r="O79" s="18"/>
      <c r="P79" s="18"/>
      <c r="Q79" s="18"/>
      <c r="R79" s="18"/>
      <c r="S79" s="18"/>
      <c r="T79" s="18"/>
      <c r="U79" s="18"/>
      <c r="V79" s="18"/>
    </row>
    <row r="80" spans="1:22" ht="15" hidden="1" customHeight="1" x14ac:dyDescent="0.25">
      <c r="A80" s="18"/>
      <c r="B80" s="18"/>
      <c r="C80" s="18"/>
      <c r="D80" s="18"/>
      <c r="E80" s="18"/>
      <c r="F80" s="18"/>
      <c r="G80" s="18"/>
      <c r="H80" s="18"/>
      <c r="I80" s="18"/>
      <c r="J80" s="18"/>
      <c r="K80" s="18"/>
      <c r="L80" s="18"/>
      <c r="M80" s="18"/>
      <c r="N80" s="18"/>
      <c r="O80" s="18"/>
      <c r="P80" s="18"/>
      <c r="Q80" s="18"/>
      <c r="R80" s="18"/>
      <c r="S80" s="18"/>
      <c r="T80" s="18"/>
      <c r="U80" s="18"/>
      <c r="V80" s="18"/>
    </row>
    <row r="81" spans="1:22" ht="15" hidden="1" customHeight="1" x14ac:dyDescent="0.25">
      <c r="A81" s="18"/>
      <c r="B81" s="18"/>
      <c r="C81" s="18"/>
      <c r="D81" s="18"/>
      <c r="E81" s="18"/>
      <c r="F81" s="18"/>
      <c r="G81" s="18"/>
      <c r="H81" s="18"/>
      <c r="I81" s="18"/>
      <c r="J81" s="18"/>
      <c r="K81" s="18"/>
      <c r="L81" s="18"/>
      <c r="M81" s="18"/>
      <c r="N81" s="18"/>
      <c r="O81" s="18"/>
      <c r="P81" s="18"/>
      <c r="Q81" s="18"/>
      <c r="R81" s="18"/>
      <c r="S81" s="18"/>
      <c r="T81" s="18"/>
      <c r="U81" s="18"/>
      <c r="V81" s="18"/>
    </row>
    <row r="82" spans="1:22" ht="15" hidden="1" customHeight="1" x14ac:dyDescent="0.25">
      <c r="A82" s="18"/>
      <c r="B82" s="18"/>
      <c r="C82" s="18"/>
      <c r="D82" s="18"/>
      <c r="E82" s="18"/>
      <c r="F82" s="18"/>
      <c r="G82" s="18"/>
      <c r="H82" s="18"/>
      <c r="I82" s="18"/>
      <c r="J82" s="18"/>
      <c r="K82" s="18"/>
      <c r="L82" s="18"/>
      <c r="M82" s="18"/>
      <c r="N82" s="18"/>
      <c r="O82" s="18"/>
      <c r="P82" s="18"/>
      <c r="Q82" s="18"/>
      <c r="R82" s="18"/>
      <c r="S82" s="18"/>
      <c r="T82" s="18"/>
      <c r="U82" s="18"/>
      <c r="V82" s="18"/>
    </row>
    <row r="83" spans="1:22" ht="15" hidden="1" customHeight="1" x14ac:dyDescent="0.25">
      <c r="A83" s="18"/>
      <c r="B83" s="18"/>
      <c r="C83" s="18"/>
      <c r="D83" s="18"/>
      <c r="E83" s="18"/>
      <c r="F83" s="18"/>
      <c r="G83" s="18"/>
      <c r="H83" s="18"/>
      <c r="I83" s="18"/>
      <c r="J83" s="18"/>
      <c r="K83" s="18"/>
      <c r="L83" s="18"/>
      <c r="M83" s="18"/>
      <c r="N83" s="18"/>
      <c r="O83" s="18"/>
      <c r="P83" s="18"/>
      <c r="Q83" s="18"/>
      <c r="R83" s="18"/>
      <c r="S83" s="18"/>
      <c r="T83" s="18"/>
      <c r="U83" s="18"/>
      <c r="V83" s="18"/>
    </row>
    <row r="84" spans="1:22" ht="15" hidden="1" customHeight="1" x14ac:dyDescent="0.25">
      <c r="A84" s="18"/>
      <c r="B84" s="18"/>
      <c r="C84" s="18"/>
      <c r="D84" s="18"/>
      <c r="E84" s="18"/>
      <c r="F84" s="18"/>
      <c r="G84" s="18"/>
      <c r="H84" s="18"/>
      <c r="I84" s="18"/>
      <c r="J84" s="18"/>
      <c r="K84" s="18"/>
      <c r="L84" s="18"/>
      <c r="M84" s="18"/>
      <c r="N84" s="18"/>
      <c r="O84" s="18"/>
      <c r="P84" s="18"/>
      <c r="Q84" s="18"/>
      <c r="R84" s="18"/>
      <c r="S84" s="18"/>
      <c r="T84" s="18"/>
      <c r="U84" s="18"/>
      <c r="V84" s="18"/>
    </row>
    <row r="85" spans="1:22" ht="15" hidden="1" customHeight="1" x14ac:dyDescent="0.25">
      <c r="A85" s="18"/>
      <c r="B85" s="18"/>
      <c r="C85" s="18"/>
      <c r="D85" s="18"/>
      <c r="E85" s="18"/>
      <c r="F85" s="18"/>
      <c r="G85" s="18"/>
      <c r="H85" s="18"/>
      <c r="I85" s="18"/>
      <c r="J85" s="18"/>
      <c r="K85" s="18"/>
      <c r="L85" s="18"/>
      <c r="M85" s="18"/>
      <c r="N85" s="18"/>
      <c r="O85" s="18"/>
      <c r="P85" s="18"/>
      <c r="Q85" s="18"/>
      <c r="R85" s="18"/>
      <c r="S85" s="18"/>
      <c r="T85" s="18"/>
      <c r="U85" s="18"/>
      <c r="V85" s="18"/>
    </row>
    <row r="86" spans="1:22" ht="15" hidden="1" customHeight="1" x14ac:dyDescent="0.25">
      <c r="A86" s="18"/>
      <c r="B86" s="18"/>
      <c r="C86" s="18"/>
      <c r="D86" s="18"/>
      <c r="E86" s="18"/>
      <c r="F86" s="18"/>
      <c r="G86" s="18"/>
      <c r="H86" s="18"/>
      <c r="I86" s="18"/>
      <c r="J86" s="18"/>
      <c r="K86" s="18"/>
      <c r="L86" s="18"/>
      <c r="M86" s="18"/>
      <c r="N86" s="18"/>
      <c r="O86" s="18"/>
      <c r="P86" s="18"/>
      <c r="Q86" s="18"/>
      <c r="R86" s="18"/>
      <c r="S86" s="18"/>
      <c r="T86" s="18"/>
      <c r="U86" s="18"/>
      <c r="V86" s="18"/>
    </row>
    <row r="87" spans="1:22" ht="15" hidden="1" customHeight="1" x14ac:dyDescent="0.25">
      <c r="A87" s="18"/>
      <c r="B87" s="18"/>
      <c r="C87" s="18"/>
      <c r="D87" s="18"/>
      <c r="E87" s="18"/>
      <c r="F87" s="18"/>
      <c r="G87" s="18"/>
      <c r="H87" s="18"/>
      <c r="I87" s="18"/>
      <c r="J87" s="18"/>
      <c r="K87" s="18"/>
      <c r="L87" s="18"/>
      <c r="M87" s="18"/>
      <c r="N87" s="18"/>
      <c r="O87" s="18"/>
      <c r="P87" s="18"/>
      <c r="Q87" s="18"/>
      <c r="R87" s="18"/>
      <c r="S87" s="18"/>
      <c r="T87" s="18"/>
      <c r="U87" s="18"/>
      <c r="V87" s="18"/>
    </row>
    <row r="88" spans="1:22" ht="15" hidden="1" customHeight="1" x14ac:dyDescent="0.25">
      <c r="A88" s="18"/>
      <c r="B88" s="18"/>
      <c r="C88" s="18"/>
      <c r="D88" s="18"/>
      <c r="E88" s="18"/>
      <c r="F88" s="18"/>
      <c r="G88" s="18"/>
      <c r="H88" s="18"/>
      <c r="I88" s="18"/>
      <c r="J88" s="18"/>
      <c r="K88" s="18"/>
      <c r="L88" s="18"/>
      <c r="M88" s="18"/>
      <c r="N88" s="18"/>
      <c r="O88" s="18"/>
      <c r="P88" s="18"/>
      <c r="Q88" s="18"/>
      <c r="R88" s="18"/>
      <c r="S88" s="18"/>
      <c r="T88" s="18"/>
      <c r="U88" s="18"/>
      <c r="V88" s="18"/>
    </row>
    <row r="89" spans="1:22" ht="15" hidden="1" customHeight="1" x14ac:dyDescent="0.25">
      <c r="A89" s="18"/>
      <c r="B89" s="18"/>
      <c r="C89" s="18"/>
      <c r="D89" s="18"/>
      <c r="E89" s="18"/>
      <c r="F89" s="18"/>
      <c r="G89" s="18"/>
      <c r="H89" s="18"/>
      <c r="I89" s="18"/>
      <c r="J89" s="18"/>
      <c r="K89" s="18"/>
      <c r="L89" s="18"/>
      <c r="M89" s="18"/>
      <c r="N89" s="18"/>
      <c r="O89" s="18"/>
      <c r="P89" s="18"/>
      <c r="Q89" s="18"/>
      <c r="R89" s="18"/>
      <c r="S89" s="18"/>
      <c r="T89" s="18"/>
      <c r="U89" s="18"/>
      <c r="V89" s="18"/>
    </row>
    <row r="90" spans="1:22" ht="15" hidden="1" customHeight="1" x14ac:dyDescent="0.25">
      <c r="A90" s="18"/>
      <c r="B90" s="18"/>
      <c r="C90" s="18"/>
      <c r="D90" s="18"/>
      <c r="E90" s="18"/>
      <c r="F90" s="18"/>
      <c r="G90" s="18"/>
      <c r="H90" s="18"/>
      <c r="I90" s="18"/>
      <c r="J90" s="18"/>
      <c r="K90" s="18"/>
      <c r="L90" s="18"/>
      <c r="M90" s="18"/>
      <c r="N90" s="18"/>
      <c r="O90" s="18"/>
      <c r="P90" s="18"/>
      <c r="Q90" s="18"/>
      <c r="R90" s="18"/>
      <c r="S90" s="18"/>
      <c r="T90" s="18"/>
      <c r="U90" s="18"/>
      <c r="V90" s="18"/>
    </row>
    <row r="91" spans="1:22" ht="15" hidden="1" customHeight="1" x14ac:dyDescent="0.25">
      <c r="A91" s="18"/>
      <c r="B91" s="18"/>
      <c r="C91" s="18"/>
      <c r="D91" s="18"/>
      <c r="E91" s="18"/>
      <c r="F91" s="18"/>
      <c r="G91" s="18"/>
      <c r="H91" s="18"/>
      <c r="I91" s="18"/>
      <c r="J91" s="18"/>
      <c r="K91" s="18"/>
      <c r="L91" s="18"/>
      <c r="M91" s="18"/>
      <c r="N91" s="18"/>
      <c r="O91" s="18"/>
      <c r="P91" s="18"/>
      <c r="Q91" s="18"/>
      <c r="R91" s="18"/>
      <c r="S91" s="18"/>
      <c r="T91" s="18"/>
      <c r="U91" s="18"/>
      <c r="V91" s="18"/>
    </row>
    <row r="92" spans="1:22" ht="15" hidden="1" customHeight="1" x14ac:dyDescent="0.25">
      <c r="A92" s="18"/>
      <c r="B92" s="18"/>
      <c r="C92" s="18"/>
      <c r="D92" s="18"/>
      <c r="E92" s="18"/>
      <c r="F92" s="18"/>
      <c r="G92" s="18"/>
      <c r="H92" s="18"/>
      <c r="I92" s="18"/>
      <c r="J92" s="18"/>
      <c r="K92" s="18"/>
      <c r="L92" s="18"/>
      <c r="M92" s="18"/>
      <c r="N92" s="18"/>
      <c r="O92" s="18"/>
      <c r="P92" s="18"/>
      <c r="Q92" s="18"/>
      <c r="R92" s="18"/>
      <c r="S92" s="18"/>
      <c r="T92" s="18"/>
      <c r="U92" s="18"/>
      <c r="V92" s="18"/>
    </row>
    <row r="93" spans="1:22" ht="15" hidden="1" customHeight="1" x14ac:dyDescent="0.25">
      <c r="A93" s="18"/>
      <c r="B93" s="18"/>
      <c r="C93" s="18"/>
      <c r="D93" s="18"/>
      <c r="E93" s="18"/>
      <c r="F93" s="18"/>
      <c r="G93" s="18"/>
      <c r="H93" s="18"/>
      <c r="I93" s="18"/>
      <c r="J93" s="18"/>
      <c r="K93" s="18"/>
      <c r="L93" s="18"/>
      <c r="M93" s="18"/>
      <c r="N93" s="18"/>
      <c r="O93" s="18"/>
      <c r="P93" s="18"/>
      <c r="Q93" s="18"/>
      <c r="R93" s="18"/>
      <c r="S93" s="18"/>
      <c r="T93" s="18"/>
      <c r="U93" s="18"/>
      <c r="V93" s="18"/>
    </row>
    <row r="94" spans="1:22" ht="15" hidden="1" customHeight="1" x14ac:dyDescent="0.25">
      <c r="A94" s="18"/>
      <c r="B94" s="18"/>
      <c r="C94" s="18"/>
      <c r="D94" s="18"/>
      <c r="E94" s="18"/>
      <c r="F94" s="18"/>
      <c r="G94" s="18"/>
      <c r="H94" s="18"/>
      <c r="I94" s="18"/>
      <c r="J94" s="18"/>
      <c r="K94" s="18"/>
      <c r="L94" s="18"/>
      <c r="M94" s="18"/>
      <c r="N94" s="18"/>
      <c r="O94" s="18"/>
      <c r="P94" s="18"/>
      <c r="Q94" s="18"/>
      <c r="R94" s="18"/>
      <c r="S94" s="18"/>
      <c r="T94" s="18"/>
      <c r="U94" s="18"/>
      <c r="V94" s="18"/>
    </row>
    <row r="95" spans="1:22" ht="15" hidden="1" customHeight="1" x14ac:dyDescent="0.25">
      <c r="A95" s="18"/>
      <c r="B95" s="18"/>
      <c r="C95" s="18"/>
      <c r="D95" s="18"/>
      <c r="E95" s="18"/>
      <c r="F95" s="18"/>
      <c r="G95" s="18"/>
      <c r="H95" s="18"/>
      <c r="I95" s="18"/>
      <c r="J95" s="18"/>
      <c r="K95" s="18"/>
      <c r="L95" s="18"/>
      <c r="M95" s="18"/>
      <c r="N95" s="18"/>
      <c r="O95" s="18"/>
      <c r="P95" s="18"/>
      <c r="Q95" s="18"/>
      <c r="R95" s="18"/>
      <c r="S95" s="18"/>
      <c r="T95" s="18"/>
      <c r="U95" s="18"/>
      <c r="V95" s="18"/>
    </row>
    <row r="96" spans="1:22" ht="15" hidden="1" customHeight="1" x14ac:dyDescent="0.25">
      <c r="A96" s="18"/>
      <c r="B96" s="18"/>
      <c r="C96" s="18"/>
      <c r="D96" s="18"/>
      <c r="E96" s="18"/>
      <c r="F96" s="18"/>
      <c r="G96" s="18"/>
      <c r="H96" s="18"/>
      <c r="I96" s="18"/>
      <c r="J96" s="18"/>
      <c r="K96" s="18"/>
      <c r="L96" s="18"/>
      <c r="M96" s="18"/>
      <c r="N96" s="18"/>
      <c r="O96" s="18"/>
      <c r="P96" s="18"/>
      <c r="Q96" s="18"/>
      <c r="R96" s="18"/>
      <c r="S96" s="18"/>
      <c r="T96" s="18"/>
      <c r="U96" s="18"/>
      <c r="V96" s="18"/>
    </row>
    <row r="97" spans="1:22" ht="15" hidden="1" customHeight="1" x14ac:dyDescent="0.25">
      <c r="A97" s="18"/>
      <c r="B97" s="18"/>
      <c r="C97" s="18"/>
      <c r="D97" s="18"/>
      <c r="E97" s="18"/>
      <c r="F97" s="18"/>
      <c r="G97" s="18"/>
      <c r="H97" s="18"/>
      <c r="I97" s="18"/>
      <c r="J97" s="18"/>
      <c r="K97" s="18"/>
      <c r="L97" s="18"/>
      <c r="M97" s="18"/>
      <c r="N97" s="18"/>
      <c r="O97" s="18"/>
      <c r="P97" s="18"/>
      <c r="Q97" s="18"/>
      <c r="R97" s="18"/>
      <c r="S97" s="18"/>
      <c r="T97" s="18"/>
      <c r="U97" s="18"/>
      <c r="V97" s="18"/>
    </row>
    <row r="98" spans="1:22" ht="15" hidden="1" customHeight="1" x14ac:dyDescent="0.25">
      <c r="A98" s="18"/>
      <c r="B98" s="18"/>
      <c r="C98" s="18"/>
      <c r="D98" s="18"/>
      <c r="E98" s="18"/>
      <c r="F98" s="18"/>
      <c r="G98" s="18"/>
      <c r="H98" s="18"/>
      <c r="I98" s="18"/>
      <c r="J98" s="18"/>
      <c r="K98" s="18"/>
      <c r="L98" s="18"/>
      <c r="M98" s="18"/>
      <c r="N98" s="18"/>
      <c r="O98" s="18"/>
      <c r="P98" s="18"/>
      <c r="Q98" s="18"/>
      <c r="R98" s="18"/>
      <c r="S98" s="18"/>
      <c r="T98" s="18"/>
      <c r="U98" s="18"/>
      <c r="V98" s="18"/>
    </row>
    <row r="99" spans="1:22" ht="15" hidden="1" customHeight="1" x14ac:dyDescent="0.25">
      <c r="A99" s="18"/>
      <c r="B99" s="18"/>
      <c r="C99" s="18"/>
      <c r="D99" s="18"/>
      <c r="E99" s="18"/>
      <c r="F99" s="18"/>
      <c r="G99" s="18"/>
      <c r="H99" s="18"/>
      <c r="I99" s="18"/>
      <c r="J99" s="18"/>
      <c r="K99" s="18"/>
      <c r="L99" s="18"/>
      <c r="M99" s="18"/>
      <c r="N99" s="18"/>
      <c r="O99" s="18"/>
      <c r="P99" s="18"/>
      <c r="Q99" s="18"/>
      <c r="R99" s="18"/>
      <c r="S99" s="18"/>
      <c r="T99" s="18"/>
      <c r="U99" s="18"/>
      <c r="V99" s="18"/>
    </row>
    <row r="100" spans="1:22" ht="15" hidden="1" customHeight="1" x14ac:dyDescent="0.25">
      <c r="A100" s="18"/>
      <c r="B100" s="18"/>
      <c r="C100" s="18"/>
      <c r="D100" s="18"/>
      <c r="E100" s="18"/>
      <c r="F100" s="18"/>
      <c r="G100" s="18"/>
      <c r="H100" s="18"/>
      <c r="I100" s="18"/>
      <c r="J100" s="18"/>
      <c r="K100" s="18"/>
      <c r="L100" s="18"/>
      <c r="M100" s="18"/>
      <c r="N100" s="18"/>
      <c r="O100" s="18"/>
      <c r="P100" s="18"/>
      <c r="Q100" s="18"/>
      <c r="R100" s="18"/>
      <c r="S100" s="18"/>
      <c r="T100" s="18"/>
      <c r="U100" s="18"/>
      <c r="V100" s="18"/>
    </row>
    <row r="101" spans="1:22" ht="15" hidden="1" customHeight="1" x14ac:dyDescent="0.25">
      <c r="A101" s="18"/>
      <c r="B101" s="18"/>
      <c r="C101" s="18"/>
      <c r="D101" s="18"/>
      <c r="E101" s="18"/>
      <c r="F101" s="18"/>
      <c r="G101" s="18"/>
      <c r="H101" s="18"/>
      <c r="I101" s="18"/>
      <c r="J101" s="18"/>
      <c r="K101" s="18"/>
      <c r="L101" s="18"/>
      <c r="M101" s="18"/>
      <c r="N101" s="18"/>
      <c r="O101" s="18"/>
      <c r="P101" s="18"/>
      <c r="Q101" s="18"/>
      <c r="R101" s="18"/>
      <c r="S101" s="18"/>
      <c r="T101" s="18"/>
      <c r="U101" s="18"/>
      <c r="V101" s="18"/>
    </row>
  </sheetData>
  <mergeCells count="2">
    <mergeCell ref="A1:V101"/>
    <mergeCell ref="W1:AE3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AB1F0-BC39-4BC4-A08F-AD669D063D4E}">
  <dimension ref="A2:M22"/>
  <sheetViews>
    <sheetView zoomScale="80" zoomScaleNormal="80" workbookViewId="0">
      <selection activeCell="I2" sqref="I2"/>
    </sheetView>
  </sheetViews>
  <sheetFormatPr defaultRowHeight="15" x14ac:dyDescent="0.25"/>
  <cols>
    <col min="1" max="1" width="21.28515625" bestFit="1" customWidth="1"/>
    <col min="2" max="2" width="13.42578125" bestFit="1" customWidth="1"/>
    <col min="3" max="3" width="17.140625" bestFit="1" customWidth="1"/>
    <col min="6" max="6" width="24.85546875" bestFit="1" customWidth="1"/>
    <col min="7" max="7" width="21.7109375" bestFit="1" customWidth="1"/>
    <col min="8" max="8" width="17.140625" bestFit="1" customWidth="1"/>
    <col min="9" max="10" width="15.7109375" bestFit="1" customWidth="1"/>
    <col min="11" max="11" width="24.85546875" bestFit="1" customWidth="1"/>
    <col min="12" max="12" width="21.7109375" bestFit="1" customWidth="1"/>
    <col min="13" max="13" width="4.5703125" bestFit="1" customWidth="1"/>
    <col min="14" max="14" width="9.28515625" bestFit="1" customWidth="1"/>
    <col min="15" max="15" width="11.28515625" bestFit="1" customWidth="1"/>
  </cols>
  <sheetData>
    <row r="2" spans="1:13" x14ac:dyDescent="0.25">
      <c r="A2" s="20" t="s">
        <v>220</v>
      </c>
      <c r="B2" s="20"/>
      <c r="C2" s="20"/>
      <c r="F2" s="20" t="s">
        <v>224</v>
      </c>
      <c r="G2" s="20"/>
      <c r="K2" s="20" t="s">
        <v>226</v>
      </c>
      <c r="L2" s="20"/>
      <c r="M2" s="20"/>
    </row>
    <row r="3" spans="1:13" x14ac:dyDescent="0.25">
      <c r="A3" s="8" t="s">
        <v>219</v>
      </c>
      <c r="B3" s="15" t="s">
        <v>218</v>
      </c>
      <c r="C3" t="s">
        <v>217</v>
      </c>
      <c r="F3" s="8" t="s">
        <v>223</v>
      </c>
      <c r="G3" s="8" t="s">
        <v>7</v>
      </c>
      <c r="H3" t="s">
        <v>224</v>
      </c>
      <c r="K3" s="8" t="s">
        <v>225</v>
      </c>
      <c r="L3" s="8" t="s">
        <v>7</v>
      </c>
    </row>
    <row r="4" spans="1:13" x14ac:dyDescent="0.25">
      <c r="A4" s="9" t="s">
        <v>198</v>
      </c>
      <c r="B4" s="16">
        <v>87147.117647058825</v>
      </c>
      <c r="C4">
        <v>17</v>
      </c>
      <c r="F4" s="8" t="s">
        <v>219</v>
      </c>
      <c r="G4" t="s">
        <v>222</v>
      </c>
      <c r="K4" s="8" t="s">
        <v>219</v>
      </c>
      <c r="L4" t="s">
        <v>221</v>
      </c>
      <c r="M4" t="s">
        <v>222</v>
      </c>
    </row>
    <row r="5" spans="1:13" x14ac:dyDescent="0.25">
      <c r="A5" s="9" t="s">
        <v>196</v>
      </c>
      <c r="B5" s="16">
        <v>85459.666666666672</v>
      </c>
      <c r="C5">
        <v>18</v>
      </c>
      <c r="F5" s="9" t="s">
        <v>198</v>
      </c>
      <c r="G5">
        <v>3</v>
      </c>
      <c r="H5" s="11">
        <f>GETPIVOTDATA("Emp ID",$F$3,"Employment Status","Left","Department Name","Finance")/GETPIVOTDATA("Count of Emp ID",$A$3,"Department Name","Finance")</f>
        <v>0.17647058823529413</v>
      </c>
      <c r="K5" s="9" t="s">
        <v>198</v>
      </c>
      <c r="L5" s="12">
        <v>68.357142857142861</v>
      </c>
      <c r="M5" s="12">
        <v>71.666666666666671</v>
      </c>
    </row>
    <row r="6" spans="1:13" x14ac:dyDescent="0.25">
      <c r="A6" s="9" t="s">
        <v>199</v>
      </c>
      <c r="B6" s="16">
        <v>85406.789473684214</v>
      </c>
      <c r="C6">
        <v>19</v>
      </c>
      <c r="F6" s="9" t="s">
        <v>196</v>
      </c>
      <c r="G6">
        <v>2</v>
      </c>
      <c r="H6" s="11">
        <f>GETPIVOTDATA("Emp ID",$F$3,"Employment Status","Left","Department Name","Human Resources")/GETPIVOTDATA("Count of Emp ID",$A$3,"Department Name","Human Resources")</f>
        <v>0.1111111111111111</v>
      </c>
      <c r="K6" s="9" t="s">
        <v>196</v>
      </c>
      <c r="L6" s="12">
        <v>69.933333333333337</v>
      </c>
      <c r="M6" s="12">
        <v>71</v>
      </c>
    </row>
    <row r="7" spans="1:13" x14ac:dyDescent="0.25">
      <c r="A7" s="9" t="s">
        <v>201</v>
      </c>
      <c r="B7" s="16">
        <v>80008.413793103449</v>
      </c>
      <c r="C7">
        <v>29</v>
      </c>
      <c r="F7" s="9" t="s">
        <v>197</v>
      </c>
      <c r="G7">
        <v>6</v>
      </c>
      <c r="H7" s="11">
        <f>GETPIVOTDATA("Emp ID",$F$3,"Employment Status","Left","Department Name","Information Technology")/GETPIVOTDATA("Count of Emp ID",$A$3,"Department Name","Information Technology")</f>
        <v>0.16666666666666666</v>
      </c>
      <c r="K7" s="9" t="s">
        <v>197</v>
      </c>
      <c r="L7" s="12">
        <v>67.25</v>
      </c>
      <c r="M7" s="12">
        <v>51.833333333333336</v>
      </c>
    </row>
    <row r="8" spans="1:13" x14ac:dyDescent="0.25">
      <c r="A8" s="9" t="s">
        <v>200</v>
      </c>
      <c r="B8" s="16">
        <v>86209.741935483864</v>
      </c>
      <c r="C8">
        <v>31</v>
      </c>
      <c r="F8" s="9" t="s">
        <v>199</v>
      </c>
      <c r="G8">
        <v>3</v>
      </c>
      <c r="H8" s="11">
        <f>GETPIVOTDATA("Emp ID",$F$3,"Employment Status","Left","Department Name","Marketing")/GETPIVOTDATA("Count of Emp ID",$A$3,"Department Name","Marketing")</f>
        <v>0.15789473684210525</v>
      </c>
      <c r="K8" s="9" t="s">
        <v>199</v>
      </c>
      <c r="L8" s="12">
        <v>74.6875</v>
      </c>
      <c r="M8" s="12">
        <v>65.333333333333329</v>
      </c>
    </row>
    <row r="9" spans="1:13" x14ac:dyDescent="0.25">
      <c r="A9" s="9" t="s">
        <v>197</v>
      </c>
      <c r="B9" s="16">
        <v>80511.722222222219</v>
      </c>
      <c r="C9">
        <v>36</v>
      </c>
      <c r="F9" s="9" t="s">
        <v>201</v>
      </c>
      <c r="G9">
        <v>6</v>
      </c>
      <c r="H9" s="11">
        <f>GETPIVOTDATA("Emp ID",$F$3,"Employment Status","Left","Department Name","Operations")/GETPIVOTDATA("Count of Emp ID",$A$3,"Department Name","Operations")</f>
        <v>0.20689655172413793</v>
      </c>
      <c r="K9" s="9" t="s">
        <v>201</v>
      </c>
      <c r="L9" s="12">
        <v>69.444444444444443</v>
      </c>
      <c r="M9" s="12">
        <v>73.833333333333329</v>
      </c>
    </row>
    <row r="10" spans="1:13" x14ac:dyDescent="0.25">
      <c r="A10" s="9" t="s">
        <v>216</v>
      </c>
      <c r="B10" s="16">
        <v>83557.813333333339</v>
      </c>
      <c r="C10">
        <v>150</v>
      </c>
      <c r="D10">
        <f>GETPIVOTDATA("Count of Emp ID",$A$3)</f>
        <v>150</v>
      </c>
      <c r="F10" s="9" t="s">
        <v>200</v>
      </c>
      <c r="G10">
        <v>4</v>
      </c>
      <c r="H10" s="11">
        <f>GETPIVOTDATA("Emp ID",$F$3,"Employment Status","Left","Department Name","Sales")/GETPIVOTDATA("Count of Emp ID",$A$3,"Department Name","Sales")</f>
        <v>0.12903225806451613</v>
      </c>
      <c r="K10" s="9" t="s">
        <v>200</v>
      </c>
      <c r="L10" s="12">
        <v>60.96</v>
      </c>
      <c r="M10" s="12">
        <v>70.5</v>
      </c>
    </row>
    <row r="11" spans="1:13" x14ac:dyDescent="0.25">
      <c r="B11" s="16">
        <f>GETPIVOTDATA("Average of Salary",$A$3)</f>
        <v>83557.813333333339</v>
      </c>
      <c r="F11" s="9" t="s">
        <v>216</v>
      </c>
      <c r="G11">
        <v>24</v>
      </c>
      <c r="H11" s="17">
        <f>AVERAGE(H5:H10)</f>
        <v>0.15801198544063852</v>
      </c>
      <c r="I11" s="17">
        <f>H11</f>
        <v>0.15801198544063852</v>
      </c>
      <c r="K11" s="9" t="s">
        <v>216</v>
      </c>
      <c r="L11" s="12">
        <v>67.741379310344826</v>
      </c>
      <c r="M11" s="12">
        <v>66.208333333333329</v>
      </c>
    </row>
    <row r="12" spans="1:13" x14ac:dyDescent="0.25">
      <c r="B12" s="16">
        <f>AVERAGE(B4:B9)</f>
        <v>84123.908623036536</v>
      </c>
      <c r="G12" s="11">
        <f>34/150</f>
        <v>0.22666666666666666</v>
      </c>
      <c r="H12" s="17">
        <f>SUM(H5:H10)</f>
        <v>0.94807191264383117</v>
      </c>
    </row>
    <row r="13" spans="1:13" x14ac:dyDescent="0.25">
      <c r="G13" s="17">
        <f>G12</f>
        <v>0.22666666666666666</v>
      </c>
      <c r="H13" s="17">
        <f>H12</f>
        <v>0.94807191264383117</v>
      </c>
    </row>
    <row r="14" spans="1:13" x14ac:dyDescent="0.25">
      <c r="G14">
        <f>24/126</f>
        <v>0.19047619047619047</v>
      </c>
    </row>
    <row r="16" spans="1:13" x14ac:dyDescent="0.25">
      <c r="A16" s="8" t="s">
        <v>214</v>
      </c>
      <c r="B16" t="s">
        <v>227</v>
      </c>
    </row>
    <row r="17" spans="1:12" x14ac:dyDescent="0.25">
      <c r="A17" s="9" t="s">
        <v>208</v>
      </c>
      <c r="B17" s="21">
        <v>2.0500000000000007</v>
      </c>
      <c r="G17" s="8" t="s">
        <v>219</v>
      </c>
      <c r="H17" t="s">
        <v>218</v>
      </c>
      <c r="J17" s="8" t="s">
        <v>219</v>
      </c>
      <c r="K17" t="s">
        <v>217</v>
      </c>
    </row>
    <row r="18" spans="1:12" x14ac:dyDescent="0.25">
      <c r="A18" s="9" t="s">
        <v>209</v>
      </c>
      <c r="B18" s="21">
        <v>1.7600000000000005</v>
      </c>
      <c r="G18" s="9" t="s">
        <v>198</v>
      </c>
      <c r="H18" s="16">
        <v>87147.117647058825</v>
      </c>
      <c r="J18" s="9" t="s">
        <v>221</v>
      </c>
      <c r="K18" s="12">
        <v>116</v>
      </c>
      <c r="L18">
        <f>GETPIVOTDATA("Emp ID",$J$17,"Employment Status","Active")</f>
        <v>116</v>
      </c>
    </row>
    <row r="19" spans="1:12" x14ac:dyDescent="0.25">
      <c r="A19" s="9" t="s">
        <v>210</v>
      </c>
      <c r="B19" s="21">
        <v>1.2000000000000002</v>
      </c>
      <c r="G19" s="9" t="s">
        <v>196</v>
      </c>
      <c r="H19" s="16">
        <v>85459.666666666672</v>
      </c>
    </row>
    <row r="20" spans="1:12" x14ac:dyDescent="0.25">
      <c r="A20" s="9" t="s">
        <v>207</v>
      </c>
      <c r="B20" s="21">
        <v>0.98000000000000054</v>
      </c>
      <c r="G20" s="9" t="s">
        <v>200</v>
      </c>
      <c r="H20" s="16">
        <v>86209.741935483864</v>
      </c>
    </row>
    <row r="21" spans="1:12" x14ac:dyDescent="0.25">
      <c r="A21" s="9" t="s">
        <v>206</v>
      </c>
      <c r="B21" s="21">
        <v>0</v>
      </c>
    </row>
    <row r="22" spans="1:12" x14ac:dyDescent="0.25">
      <c r="H22" s="16">
        <f>AVERAGE(H18:H20)</f>
        <v>86272.175416403115</v>
      </c>
    </row>
  </sheetData>
  <mergeCells count="3">
    <mergeCell ref="A2:C2"/>
    <mergeCell ref="F2:G2"/>
    <mergeCell ref="K2:M2"/>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3398D-EACB-4077-8B37-7B22C5E882E2}">
  <dimension ref="A1"/>
  <sheetViews>
    <sheetView topLeftCell="H4" zoomScale="115" zoomScaleNormal="115" workbookViewId="0">
      <selection activeCell="AG9" sqref="AG9"/>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4EAF0-4A11-4DB6-81ED-A3F36977982F}">
  <dimension ref="A1:F10"/>
  <sheetViews>
    <sheetView topLeftCell="F1" workbookViewId="0">
      <selection activeCell="I13" sqref="I13"/>
    </sheetView>
  </sheetViews>
  <sheetFormatPr defaultRowHeight="15" x14ac:dyDescent="0.25"/>
  <cols>
    <col min="1" max="1" width="22.5703125" bestFit="1" customWidth="1"/>
    <col min="2" max="2" width="16.42578125" bestFit="1" customWidth="1"/>
    <col min="3" max="3" width="15.28515625" bestFit="1" customWidth="1"/>
    <col min="4" max="5" width="22.5703125" bestFit="1" customWidth="1"/>
    <col min="6" max="6" width="15.28515625" bestFit="1" customWidth="1"/>
    <col min="7" max="7" width="16.85546875" bestFit="1" customWidth="1"/>
    <col min="8" max="8" width="22.5703125" bestFit="1" customWidth="1"/>
    <col min="9" max="9" width="10.140625" bestFit="1" customWidth="1"/>
    <col min="10" max="10" width="10.85546875" bestFit="1" customWidth="1"/>
    <col min="11" max="11" width="5.5703125" bestFit="1" customWidth="1"/>
    <col min="12" max="12" width="11.28515625" bestFit="1" customWidth="1"/>
    <col min="13" max="13" width="21.5703125" bestFit="1" customWidth="1"/>
    <col min="14" max="14" width="20.28515625" bestFit="1" customWidth="1"/>
    <col min="15" max="15" width="12.85546875" bestFit="1" customWidth="1"/>
    <col min="16" max="16" width="10.140625" bestFit="1" customWidth="1"/>
    <col min="17" max="17" width="12.85546875" bestFit="1" customWidth="1"/>
    <col min="18" max="18" width="9.85546875" bestFit="1" customWidth="1"/>
    <col min="19" max="19" width="12.85546875" bestFit="1" customWidth="1"/>
    <col min="20" max="20" width="22.5703125" bestFit="1" customWidth="1"/>
    <col min="21" max="21" width="12.85546875" bestFit="1" customWidth="1"/>
    <col min="22" max="22" width="9.85546875" bestFit="1" customWidth="1"/>
    <col min="23" max="23" width="12.85546875" bestFit="1" customWidth="1"/>
    <col min="24" max="24" width="22.5703125" bestFit="1" customWidth="1"/>
    <col min="25" max="25" width="12.85546875" bestFit="1" customWidth="1"/>
    <col min="26" max="26" width="10.140625" bestFit="1" customWidth="1"/>
    <col min="27" max="27" width="12.85546875" bestFit="1" customWidth="1"/>
    <col min="28" max="28" width="10.85546875" bestFit="1" customWidth="1"/>
    <col min="29" max="29" width="12.85546875" bestFit="1" customWidth="1"/>
    <col min="30" max="30" width="9.85546875" bestFit="1" customWidth="1"/>
    <col min="31" max="31" width="12.85546875" bestFit="1" customWidth="1"/>
    <col min="32" max="32" width="10.140625" bestFit="1" customWidth="1"/>
    <col min="33" max="33" width="12.85546875" bestFit="1" customWidth="1"/>
    <col min="34" max="34" width="10.85546875" bestFit="1" customWidth="1"/>
    <col min="35" max="35" width="12.85546875" bestFit="1" customWidth="1"/>
    <col min="36" max="36" width="22.5703125" bestFit="1" customWidth="1"/>
    <col min="37" max="37" width="12.85546875" bestFit="1" customWidth="1"/>
    <col min="38" max="38" width="9.85546875" bestFit="1" customWidth="1"/>
    <col min="39" max="39" width="12.85546875" bestFit="1" customWidth="1"/>
    <col min="40" max="40" width="9.85546875" bestFit="1" customWidth="1"/>
    <col min="41" max="41" width="12.85546875" bestFit="1" customWidth="1"/>
    <col min="42" max="42" width="9.85546875" bestFit="1" customWidth="1"/>
    <col min="43" max="43" width="12.85546875" bestFit="1" customWidth="1"/>
    <col min="44" max="44" width="10.85546875" bestFit="1" customWidth="1"/>
    <col min="45" max="45" width="12.85546875" bestFit="1" customWidth="1"/>
    <col min="46" max="46" width="10.85546875" bestFit="1" customWidth="1"/>
    <col min="47" max="47" width="12.85546875" bestFit="1" customWidth="1"/>
    <col min="48" max="48" width="10.85546875" bestFit="1" customWidth="1"/>
    <col min="49" max="49" width="12.85546875" bestFit="1" customWidth="1"/>
    <col min="50" max="50" width="10.140625" bestFit="1" customWidth="1"/>
    <col min="51" max="51" width="12.85546875" bestFit="1" customWidth="1"/>
    <col min="52" max="52" width="9.85546875" bestFit="1" customWidth="1"/>
    <col min="53" max="53" width="12.85546875" bestFit="1" customWidth="1"/>
    <col min="54" max="54" width="10.85546875" bestFit="1" customWidth="1"/>
    <col min="55" max="55" width="12.85546875" bestFit="1" customWidth="1"/>
    <col min="56" max="56" width="9.85546875" bestFit="1" customWidth="1"/>
    <col min="57" max="57" width="12.85546875" bestFit="1" customWidth="1"/>
    <col min="58" max="58" width="9.85546875" bestFit="1" customWidth="1"/>
    <col min="59" max="59" width="12.85546875" bestFit="1" customWidth="1"/>
    <col min="60" max="60" width="10.85546875" bestFit="1" customWidth="1"/>
    <col min="61" max="61" width="12.85546875" bestFit="1" customWidth="1"/>
    <col min="62" max="62" width="9.85546875" bestFit="1" customWidth="1"/>
    <col min="63" max="63" width="12.85546875" bestFit="1" customWidth="1"/>
    <col min="64" max="64" width="9.85546875" bestFit="1" customWidth="1"/>
    <col min="65" max="65" width="12.85546875" bestFit="1" customWidth="1"/>
    <col min="66" max="66" width="16.85546875" bestFit="1" customWidth="1"/>
    <col min="67" max="67" width="12.85546875" bestFit="1" customWidth="1"/>
    <col min="68" max="68" width="22.5703125" bestFit="1" customWidth="1"/>
    <col min="69" max="69" width="12.85546875" bestFit="1" customWidth="1"/>
    <col min="70" max="70" width="22.5703125" bestFit="1" customWidth="1"/>
    <col min="71" max="71" width="12.85546875" bestFit="1" customWidth="1"/>
    <col min="72" max="72" width="9.85546875" bestFit="1" customWidth="1"/>
    <col min="73" max="73" width="12.85546875" bestFit="1" customWidth="1"/>
    <col min="74" max="74" width="22.5703125" bestFit="1" customWidth="1"/>
    <col min="75" max="75" width="12.85546875" bestFit="1" customWidth="1"/>
    <col min="76" max="76" width="22.5703125" bestFit="1" customWidth="1"/>
    <col min="77" max="77" width="12.85546875" bestFit="1" customWidth="1"/>
    <col min="78" max="78" width="10.140625" bestFit="1" customWidth="1"/>
    <col min="79" max="79" width="12.85546875" bestFit="1" customWidth="1"/>
    <col min="80" max="80" width="22.5703125" bestFit="1" customWidth="1"/>
    <col min="81" max="81" width="12.85546875" bestFit="1" customWidth="1"/>
    <col min="82" max="82" width="9.85546875" bestFit="1" customWidth="1"/>
    <col min="83" max="83" width="12.85546875" bestFit="1" customWidth="1"/>
    <col min="84" max="84" width="22.5703125" bestFit="1" customWidth="1"/>
    <col min="85" max="85" width="12.85546875" bestFit="1" customWidth="1"/>
    <col min="86" max="86" width="10.85546875" bestFit="1" customWidth="1"/>
    <col min="87" max="87" width="12.85546875" bestFit="1" customWidth="1"/>
    <col min="88" max="88" width="22.5703125" bestFit="1" customWidth="1"/>
    <col min="89" max="89" width="12.85546875" bestFit="1" customWidth="1"/>
    <col min="90" max="90" width="16.85546875" bestFit="1" customWidth="1"/>
    <col min="91" max="91" width="12.85546875" bestFit="1" customWidth="1"/>
    <col min="92" max="92" width="10.140625" bestFit="1" customWidth="1"/>
    <col min="93" max="93" width="12.85546875" bestFit="1" customWidth="1"/>
    <col min="94" max="94" width="10.140625" bestFit="1" customWidth="1"/>
    <col min="95" max="95" width="12.85546875" bestFit="1" customWidth="1"/>
    <col min="96" max="96" width="16.85546875" bestFit="1" customWidth="1"/>
    <col min="97" max="97" width="12.85546875" bestFit="1" customWidth="1"/>
    <col min="98" max="98" width="16.85546875" bestFit="1" customWidth="1"/>
    <col min="99" max="99" width="12.85546875" bestFit="1" customWidth="1"/>
    <col min="100" max="100" width="9.85546875" bestFit="1" customWidth="1"/>
    <col min="101" max="101" width="12.85546875" bestFit="1" customWidth="1"/>
    <col min="102" max="102" width="9.85546875" bestFit="1" customWidth="1"/>
    <col min="103" max="103" width="12.85546875" bestFit="1" customWidth="1"/>
    <col min="104" max="104" width="9.85546875" bestFit="1" customWidth="1"/>
    <col min="105" max="105" width="12.85546875" bestFit="1" customWidth="1"/>
    <col min="106" max="106" width="9.85546875" bestFit="1" customWidth="1"/>
    <col min="107" max="107" width="12.85546875" bestFit="1" customWidth="1"/>
    <col min="108" max="108" width="9.85546875" bestFit="1" customWidth="1"/>
    <col min="109" max="109" width="12.85546875" bestFit="1" customWidth="1"/>
    <col min="110" max="110" width="22.5703125" bestFit="1" customWidth="1"/>
    <col min="111" max="111" width="12.85546875" bestFit="1" customWidth="1"/>
    <col min="112" max="112" width="22.5703125" bestFit="1" customWidth="1"/>
    <col min="113" max="113" width="12.85546875" bestFit="1" customWidth="1"/>
    <col min="114" max="114" width="22.5703125" bestFit="1" customWidth="1"/>
    <col min="115" max="115" width="12.85546875" bestFit="1" customWidth="1"/>
    <col min="116" max="116" width="9.85546875" bestFit="1" customWidth="1"/>
    <col min="117" max="117" width="12.85546875" bestFit="1" customWidth="1"/>
    <col min="118" max="118" width="16.85546875" bestFit="1" customWidth="1"/>
    <col min="119" max="119" width="12.85546875" bestFit="1" customWidth="1"/>
    <col min="120" max="120" width="10.140625" bestFit="1" customWidth="1"/>
    <col min="121" max="121" width="12.85546875" bestFit="1" customWidth="1"/>
    <col min="122" max="122" width="22.5703125" bestFit="1" customWidth="1"/>
    <col min="123" max="123" width="12.85546875" bestFit="1" customWidth="1"/>
    <col min="124" max="124" width="9.85546875" bestFit="1" customWidth="1"/>
    <col min="125" max="125" width="12.85546875" bestFit="1" customWidth="1"/>
    <col min="126" max="126" width="16.85546875" bestFit="1" customWidth="1"/>
    <col min="127" max="127" width="12.85546875" bestFit="1" customWidth="1"/>
    <col min="128" max="128" width="10.140625" bestFit="1" customWidth="1"/>
    <col min="129" max="129" width="12.85546875" bestFit="1" customWidth="1"/>
    <col min="130" max="130" width="16.85546875" bestFit="1" customWidth="1"/>
    <col min="131" max="131" width="12.85546875" bestFit="1" customWidth="1"/>
    <col min="132" max="132" width="10.140625" bestFit="1" customWidth="1"/>
    <col min="133" max="133" width="12.85546875" bestFit="1" customWidth="1"/>
    <col min="134" max="134" width="16.85546875" bestFit="1" customWidth="1"/>
    <col min="135" max="135" width="12.85546875" bestFit="1" customWidth="1"/>
    <col min="136" max="136" width="9.85546875" bestFit="1" customWidth="1"/>
    <col min="137" max="137" width="12.85546875" bestFit="1" customWidth="1"/>
    <col min="138" max="138" width="16.85546875" bestFit="1" customWidth="1"/>
    <col min="139" max="139" width="12.85546875" bestFit="1" customWidth="1"/>
    <col min="140" max="140" width="10.140625" bestFit="1" customWidth="1"/>
    <col min="141" max="141" width="12.85546875" bestFit="1" customWidth="1"/>
    <col min="142" max="142" width="10.85546875" bestFit="1" customWidth="1"/>
    <col min="143" max="143" width="12.85546875" bestFit="1" customWidth="1"/>
    <col min="144" max="144" width="9.85546875" bestFit="1" customWidth="1"/>
    <col min="145" max="145" width="12.85546875" bestFit="1" customWidth="1"/>
    <col min="146" max="146" width="10.85546875" bestFit="1" customWidth="1"/>
    <col min="147" max="147" width="12.85546875" bestFit="1" customWidth="1"/>
    <col min="148" max="148" width="9.85546875" bestFit="1" customWidth="1"/>
    <col min="149" max="149" width="12.85546875" bestFit="1" customWidth="1"/>
    <col min="150" max="150" width="16.85546875" bestFit="1" customWidth="1"/>
    <col min="151" max="151" width="12.85546875" bestFit="1" customWidth="1"/>
    <col min="152" max="152" width="10.85546875" bestFit="1" customWidth="1"/>
    <col min="153" max="153" width="12.85546875" bestFit="1" customWidth="1"/>
    <col min="154" max="154" width="9.85546875" bestFit="1" customWidth="1"/>
    <col min="155" max="155" width="12.85546875" bestFit="1" customWidth="1"/>
    <col min="156" max="156" width="9.85546875" bestFit="1" customWidth="1"/>
    <col min="157" max="157" width="12.85546875" bestFit="1" customWidth="1"/>
    <col min="158" max="158" width="9.85546875" bestFit="1" customWidth="1"/>
    <col min="159" max="159" width="12.85546875" bestFit="1" customWidth="1"/>
    <col min="160" max="160" width="10.140625" bestFit="1" customWidth="1"/>
    <col min="161" max="161" width="12.85546875" bestFit="1" customWidth="1"/>
    <col min="162" max="162" width="22.5703125" bestFit="1" customWidth="1"/>
    <col min="163" max="163" width="12.85546875" bestFit="1" customWidth="1"/>
    <col min="164" max="164" width="9.85546875" bestFit="1" customWidth="1"/>
    <col min="165" max="165" width="12.85546875" bestFit="1" customWidth="1"/>
    <col min="166" max="166" width="9.85546875" bestFit="1" customWidth="1"/>
    <col min="167" max="167" width="12.85546875" bestFit="1" customWidth="1"/>
    <col min="168" max="168" width="10.140625" bestFit="1" customWidth="1"/>
    <col min="169" max="169" width="12.85546875" bestFit="1" customWidth="1"/>
    <col min="170" max="170" width="9.85546875" bestFit="1" customWidth="1"/>
    <col min="171" max="171" width="12.85546875" bestFit="1" customWidth="1"/>
    <col min="172" max="172" width="9.85546875" bestFit="1" customWidth="1"/>
    <col min="173" max="173" width="12.85546875" bestFit="1" customWidth="1"/>
    <col min="174" max="174" width="9.85546875" bestFit="1" customWidth="1"/>
    <col min="175" max="175" width="12.85546875" bestFit="1" customWidth="1"/>
    <col min="176" max="176" width="22.5703125" bestFit="1" customWidth="1"/>
    <col min="177" max="177" width="12.85546875" bestFit="1" customWidth="1"/>
    <col min="178" max="178" width="9.85546875" bestFit="1" customWidth="1"/>
    <col min="179" max="179" width="12.85546875" bestFit="1" customWidth="1"/>
    <col min="180" max="180" width="9.85546875" bestFit="1" customWidth="1"/>
    <col min="181" max="181" width="12.85546875" bestFit="1" customWidth="1"/>
    <col min="182" max="182" width="10.85546875" bestFit="1" customWidth="1"/>
    <col min="183" max="183" width="12.85546875" bestFit="1" customWidth="1"/>
    <col min="184" max="184" width="10.85546875" bestFit="1" customWidth="1"/>
    <col min="185" max="185" width="12.85546875" bestFit="1" customWidth="1"/>
    <col min="186" max="186" width="10.140625" bestFit="1" customWidth="1"/>
    <col min="187" max="187" width="12.85546875" bestFit="1" customWidth="1"/>
    <col min="188" max="188" width="22.5703125" bestFit="1" customWidth="1"/>
    <col min="189" max="189" width="12.85546875" bestFit="1" customWidth="1"/>
    <col min="190" max="190" width="9.85546875" bestFit="1" customWidth="1"/>
    <col min="191" max="191" width="12.85546875" bestFit="1" customWidth="1"/>
    <col min="192" max="192" width="10.85546875" bestFit="1" customWidth="1"/>
    <col min="193" max="193" width="12.85546875" bestFit="1" customWidth="1"/>
    <col min="194" max="194" width="10.85546875" bestFit="1" customWidth="1"/>
    <col min="195" max="195" width="12.85546875" bestFit="1" customWidth="1"/>
    <col min="196" max="196" width="10.85546875" bestFit="1" customWidth="1"/>
    <col min="197" max="197" width="12.85546875" bestFit="1" customWidth="1"/>
    <col min="198" max="198" width="9.85546875" bestFit="1" customWidth="1"/>
    <col min="199" max="199" width="12.85546875" bestFit="1" customWidth="1"/>
    <col min="200" max="200" width="9.85546875" bestFit="1" customWidth="1"/>
    <col min="201" max="201" width="12.85546875" bestFit="1" customWidth="1"/>
    <col min="202" max="202" width="9.85546875" bestFit="1" customWidth="1"/>
    <col min="203" max="203" width="12.85546875" bestFit="1" customWidth="1"/>
    <col min="204" max="204" width="9.85546875" bestFit="1" customWidth="1"/>
    <col min="205" max="205" width="12.85546875" bestFit="1" customWidth="1"/>
    <col min="206" max="206" width="22.5703125" bestFit="1" customWidth="1"/>
    <col min="207" max="207" width="12.85546875" bestFit="1" customWidth="1"/>
    <col min="208" max="208" width="10.85546875" bestFit="1" customWidth="1"/>
    <col min="209" max="209" width="12.85546875" bestFit="1" customWidth="1"/>
    <col min="210" max="210" width="22.5703125" bestFit="1" customWidth="1"/>
    <col min="211" max="211" width="12.85546875" bestFit="1" customWidth="1"/>
    <col min="212" max="212" width="22.5703125" bestFit="1" customWidth="1"/>
    <col min="213" max="213" width="12.85546875" bestFit="1" customWidth="1"/>
    <col min="214" max="214" width="10.85546875" bestFit="1" customWidth="1"/>
    <col min="215" max="215" width="12.85546875" bestFit="1" customWidth="1"/>
    <col min="216" max="216" width="16.85546875" bestFit="1" customWidth="1"/>
    <col min="217" max="217" width="12.85546875" bestFit="1" customWidth="1"/>
    <col min="218" max="218" width="9.85546875" bestFit="1" customWidth="1"/>
    <col min="219" max="219" width="12.85546875" bestFit="1" customWidth="1"/>
    <col min="220" max="220" width="22.5703125" bestFit="1" customWidth="1"/>
    <col min="221" max="221" width="12.85546875" bestFit="1" customWidth="1"/>
    <col min="222" max="222" width="9.85546875" bestFit="1" customWidth="1"/>
    <col min="223" max="223" width="12.85546875" bestFit="1" customWidth="1"/>
    <col min="224" max="224" width="22.5703125" bestFit="1" customWidth="1"/>
    <col min="225" max="225" width="12.85546875" bestFit="1" customWidth="1"/>
    <col min="226" max="226" width="16.85546875" bestFit="1" customWidth="1"/>
    <col min="227" max="227" width="12.85546875" bestFit="1" customWidth="1"/>
    <col min="228" max="228" width="22.5703125" bestFit="1" customWidth="1"/>
    <col min="229" max="229" width="12.85546875" bestFit="1" customWidth="1"/>
    <col min="230" max="230" width="22.5703125" bestFit="1" customWidth="1"/>
    <col min="231" max="231" width="12.85546875" bestFit="1" customWidth="1"/>
    <col min="232" max="232" width="10.140625" bestFit="1" customWidth="1"/>
    <col min="233" max="233" width="12.85546875" bestFit="1" customWidth="1"/>
    <col min="234" max="234" width="10.85546875" bestFit="1" customWidth="1"/>
    <col min="235" max="235" width="12.85546875" bestFit="1" customWidth="1"/>
    <col min="236" max="236" width="10.85546875" bestFit="1" customWidth="1"/>
    <col min="237" max="237" width="12.85546875" bestFit="1" customWidth="1"/>
    <col min="238" max="238" width="16.85546875" bestFit="1" customWidth="1"/>
    <col min="239" max="239" width="12.85546875" bestFit="1" customWidth="1"/>
    <col min="240" max="240" width="22.5703125" bestFit="1" customWidth="1"/>
    <col min="241" max="241" width="12.85546875" bestFit="1" customWidth="1"/>
    <col min="242" max="242" width="16.85546875" bestFit="1" customWidth="1"/>
    <col min="243" max="243" width="12.85546875" bestFit="1" customWidth="1"/>
    <col min="244" max="244" width="22.5703125" bestFit="1" customWidth="1"/>
    <col min="245" max="245" width="12.85546875" bestFit="1" customWidth="1"/>
    <col min="246" max="246" width="22.5703125" bestFit="1" customWidth="1"/>
    <col min="247" max="247" width="12.85546875" bestFit="1" customWidth="1"/>
    <col min="248" max="248" width="10.140625" bestFit="1" customWidth="1"/>
    <col min="249" max="249" width="12.85546875" bestFit="1" customWidth="1"/>
    <col min="250" max="250" width="16.85546875" bestFit="1" customWidth="1"/>
    <col min="251" max="251" width="12.85546875" bestFit="1" customWidth="1"/>
    <col min="252" max="252" width="22.5703125" bestFit="1" customWidth="1"/>
    <col min="253" max="253" width="12.85546875" bestFit="1" customWidth="1"/>
    <col min="254" max="254" width="22.5703125" bestFit="1" customWidth="1"/>
    <col min="255" max="255" width="12.85546875" bestFit="1" customWidth="1"/>
    <col min="256" max="256" width="9.85546875" bestFit="1" customWidth="1"/>
    <col min="257" max="257" width="12.85546875" bestFit="1" customWidth="1"/>
    <col min="258" max="258" width="9.85546875" bestFit="1" customWidth="1"/>
    <col min="259" max="259" width="12.85546875" bestFit="1" customWidth="1"/>
    <col min="260" max="260" width="10.140625" bestFit="1" customWidth="1"/>
    <col min="261" max="261" width="12.85546875" bestFit="1" customWidth="1"/>
    <col min="262" max="262" width="10.85546875" bestFit="1" customWidth="1"/>
    <col min="263" max="263" width="12.85546875" bestFit="1" customWidth="1"/>
    <col min="264" max="264" width="10.85546875" bestFit="1" customWidth="1"/>
    <col min="265" max="265" width="12.85546875" bestFit="1" customWidth="1"/>
    <col min="266" max="266" width="10.140625" bestFit="1" customWidth="1"/>
    <col min="267" max="267" width="12.85546875" bestFit="1" customWidth="1"/>
    <col min="268" max="268" width="22.5703125" bestFit="1" customWidth="1"/>
    <col min="269" max="269" width="12.85546875" bestFit="1" customWidth="1"/>
    <col min="270" max="270" width="22.5703125" bestFit="1" customWidth="1"/>
    <col min="271" max="271" width="12.85546875" bestFit="1" customWidth="1"/>
    <col min="272" max="272" width="9.85546875" bestFit="1" customWidth="1"/>
    <col min="273" max="273" width="12.85546875" bestFit="1" customWidth="1"/>
    <col min="274" max="274" width="22.5703125" bestFit="1" customWidth="1"/>
    <col min="275" max="275" width="12.85546875" bestFit="1" customWidth="1"/>
    <col min="276" max="276" width="16.85546875" bestFit="1" customWidth="1"/>
    <col min="277" max="277" width="12.85546875" bestFit="1" customWidth="1"/>
    <col min="278" max="278" width="9.85546875" bestFit="1" customWidth="1"/>
    <col min="279" max="279" width="12.85546875" bestFit="1" customWidth="1"/>
    <col min="280" max="280" width="9.85546875" bestFit="1" customWidth="1"/>
    <col min="281" max="281" width="12.85546875" bestFit="1" customWidth="1"/>
    <col min="282" max="282" width="10.85546875" bestFit="1" customWidth="1"/>
    <col min="283" max="283" width="12.85546875" bestFit="1" customWidth="1"/>
    <col min="284" max="284" width="22.5703125" bestFit="1" customWidth="1"/>
    <col min="285" max="285" width="12.85546875" bestFit="1" customWidth="1"/>
    <col min="286" max="286" width="16.85546875" bestFit="1" customWidth="1"/>
    <col min="287" max="287" width="12.85546875" bestFit="1" customWidth="1"/>
    <col min="288" max="288" width="22.5703125" bestFit="1" customWidth="1"/>
    <col min="289" max="289" width="12.85546875" bestFit="1" customWidth="1"/>
    <col min="290" max="290" width="10.140625" bestFit="1" customWidth="1"/>
    <col min="291" max="291" width="12.85546875" bestFit="1" customWidth="1"/>
    <col min="292" max="292" width="22.5703125" bestFit="1" customWidth="1"/>
    <col min="293" max="293" width="12.85546875" bestFit="1" customWidth="1"/>
    <col min="294" max="294" width="10.85546875" bestFit="1" customWidth="1"/>
    <col min="295" max="295" width="12.85546875" bestFit="1" customWidth="1"/>
    <col min="296" max="296" width="9.85546875" bestFit="1" customWidth="1"/>
    <col min="297" max="297" width="12.85546875" bestFit="1" customWidth="1"/>
    <col min="298" max="298" width="10.85546875" bestFit="1" customWidth="1"/>
    <col min="299" max="299" width="12.85546875" bestFit="1" customWidth="1"/>
    <col min="300" max="300" width="10.85546875" bestFit="1" customWidth="1"/>
    <col min="301" max="301" width="12.85546875" bestFit="1" customWidth="1"/>
    <col min="302" max="302" width="11.28515625" bestFit="1" customWidth="1"/>
  </cols>
  <sheetData>
    <row r="1" spans="1:6" x14ac:dyDescent="0.25">
      <c r="E1" s="8" t="s">
        <v>7</v>
      </c>
      <c r="F1" t="s">
        <v>222</v>
      </c>
    </row>
    <row r="3" spans="1:6" x14ac:dyDescent="0.25">
      <c r="A3" s="8" t="s">
        <v>228</v>
      </c>
      <c r="B3" t="s">
        <v>218</v>
      </c>
      <c r="C3" t="s">
        <v>217</v>
      </c>
      <c r="E3" s="8" t="s">
        <v>228</v>
      </c>
      <c r="F3" t="s">
        <v>217</v>
      </c>
    </row>
    <row r="4" spans="1:6" x14ac:dyDescent="0.25">
      <c r="A4" s="9" t="s">
        <v>198</v>
      </c>
      <c r="B4" s="10">
        <v>87147.117647058825</v>
      </c>
      <c r="C4">
        <v>17</v>
      </c>
      <c r="E4" s="9" t="s">
        <v>198</v>
      </c>
      <c r="F4">
        <v>3</v>
      </c>
    </row>
    <row r="5" spans="1:6" x14ac:dyDescent="0.25">
      <c r="A5" s="9" t="s">
        <v>196</v>
      </c>
      <c r="B5" s="10">
        <v>85459.666666666672</v>
      </c>
      <c r="C5">
        <v>18</v>
      </c>
      <c r="E5" s="9" t="s">
        <v>196</v>
      </c>
      <c r="F5">
        <v>2</v>
      </c>
    </row>
    <row r="6" spans="1:6" x14ac:dyDescent="0.25">
      <c r="A6" s="9" t="s">
        <v>197</v>
      </c>
      <c r="B6" s="10">
        <v>80511.722222222219</v>
      </c>
      <c r="C6">
        <v>36</v>
      </c>
      <c r="E6" s="9" t="s">
        <v>197</v>
      </c>
      <c r="F6">
        <v>6</v>
      </c>
    </row>
    <row r="7" spans="1:6" x14ac:dyDescent="0.25">
      <c r="A7" s="9" t="s">
        <v>199</v>
      </c>
      <c r="B7" s="10">
        <v>85406.789473684214</v>
      </c>
      <c r="C7">
        <v>19</v>
      </c>
      <c r="E7" s="9" t="s">
        <v>199</v>
      </c>
      <c r="F7">
        <v>3</v>
      </c>
    </row>
    <row r="8" spans="1:6" x14ac:dyDescent="0.25">
      <c r="A8" s="9" t="s">
        <v>201</v>
      </c>
      <c r="B8" s="10">
        <v>80008.413793103449</v>
      </c>
      <c r="C8">
        <v>29</v>
      </c>
      <c r="E8" s="9" t="s">
        <v>201</v>
      </c>
      <c r="F8">
        <v>6</v>
      </c>
    </row>
    <row r="9" spans="1:6" x14ac:dyDescent="0.25">
      <c r="A9" s="9" t="s">
        <v>200</v>
      </c>
      <c r="B9" s="10">
        <v>86209.741935483864</v>
      </c>
      <c r="C9">
        <v>31</v>
      </c>
      <c r="E9" s="9" t="s">
        <v>200</v>
      </c>
      <c r="F9">
        <v>4</v>
      </c>
    </row>
    <row r="10" spans="1:6" x14ac:dyDescent="0.25">
      <c r="A10" s="9" t="s">
        <v>216</v>
      </c>
      <c r="B10" s="10">
        <v>83557.813333333339</v>
      </c>
      <c r="C10">
        <v>150</v>
      </c>
      <c r="E10" s="9" t="s">
        <v>216</v>
      </c>
      <c r="F10">
        <v>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1"/>
  <sheetViews>
    <sheetView topLeftCell="H1" workbookViewId="0">
      <selection activeCell="H7" sqref="H7"/>
    </sheetView>
  </sheetViews>
  <sheetFormatPr defaultRowHeight="15" x14ac:dyDescent="0.25"/>
  <cols>
    <col min="1" max="1" width="11.7109375" bestFit="1" customWidth="1"/>
    <col min="2" max="2" width="15.7109375" bestFit="1" customWidth="1"/>
    <col min="3" max="3" width="15.28515625" bestFit="1" customWidth="1"/>
    <col min="4" max="4" width="14.85546875" bestFit="1" customWidth="1"/>
    <col min="5" max="5" width="18.28515625" style="7" bestFit="1" customWidth="1"/>
    <col min="6" max="6" width="13.7109375" style="5" bestFit="1" customWidth="1"/>
    <col min="7" max="7" width="15.140625" bestFit="1" customWidth="1"/>
    <col min="8" max="8" width="23" bestFit="1" customWidth="1"/>
    <col min="9" max="9" width="22.28515625" bestFit="1" customWidth="1"/>
    <col min="10" max="10" width="18.28515625" bestFit="1" customWidth="1"/>
    <col min="11" max="11" width="30.42578125" bestFit="1" customWidth="1"/>
    <col min="12" max="12" width="22.140625" bestFit="1" customWidth="1"/>
    <col min="13" max="13" width="9.140625" style="14"/>
  </cols>
  <sheetData>
    <row r="1" spans="1:13" x14ac:dyDescent="0.25">
      <c r="A1" s="2" t="s">
        <v>0</v>
      </c>
      <c r="B1" s="2" t="s">
        <v>1</v>
      </c>
      <c r="C1" s="2" t="s">
        <v>2</v>
      </c>
      <c r="D1" s="2" t="s">
        <v>3</v>
      </c>
      <c r="E1" s="6" t="s">
        <v>4</v>
      </c>
      <c r="F1" s="4" t="s">
        <v>5</v>
      </c>
      <c r="G1" s="2" t="s">
        <v>6</v>
      </c>
      <c r="H1" s="2" t="s">
        <v>7</v>
      </c>
      <c r="I1" s="2" t="s">
        <v>212</v>
      </c>
      <c r="J1" s="3" t="s">
        <v>211</v>
      </c>
      <c r="K1" s="3" t="s">
        <v>213</v>
      </c>
      <c r="L1" s="2" t="s">
        <v>214</v>
      </c>
      <c r="M1" s="13" t="s">
        <v>215</v>
      </c>
    </row>
    <row r="2" spans="1:13" x14ac:dyDescent="0.25">
      <c r="A2" t="s">
        <v>8</v>
      </c>
      <c r="B2" t="s">
        <v>9</v>
      </c>
      <c r="C2" t="s">
        <v>10</v>
      </c>
      <c r="D2" t="s">
        <v>11</v>
      </c>
      <c r="E2" s="7">
        <v>43093</v>
      </c>
      <c r="F2" s="5">
        <v>50361</v>
      </c>
      <c r="G2">
        <v>52</v>
      </c>
      <c r="H2" t="str">
        <f ca="1">TRIM(PROPER(Table1[[#This Row],[Employment Status]]))</f>
        <v>Active</v>
      </c>
      <c r="I2" t="str">
        <f>VLOOKUP(Table1[[#This Row],[Dept Code]],Lookup_Departments!$A$2:$B$7,2,FALSE)</f>
        <v>Information Technology</v>
      </c>
      <c r="J2" t="str">
        <f>CONCATENATE(Table1[[#This Row],[Last_Name]]," "," ",Table1[[#This Row],[First_Name]])</f>
        <v>Brown  Emily</v>
      </c>
      <c r="K2">
        <f ca="1">DATEDIF(Table1[[#This Row],[Hire Date]],TODAY(),"Y")</f>
        <v>8</v>
      </c>
      <c r="L2" t="str" cm="1">
        <f t="array" ref="L2">_xlfn.IFS(Table1[[#This Row],[Perf_Score]]&gt;=95,"Outstanding",Table1[[#This Row],[Perf_Score]]&gt;=85,"Exceeding",Table1[[#This Row],[Perf_Score]]&gt;=70,"Achieving",Table1[[#This Row],[Perf_Score]]&gt;=50,"Developing",Table1[[#This Row],[Perf_Score]]&gt;=0,"Needs Improvement")</f>
        <v>Developing</v>
      </c>
      <c r="M2" s="14" cm="1">
        <f t="array" ref="M2">_xlfn.IFS(Table1[[#This Row],[Perf_Score]]&gt;=95,0.12,Table1[[#This Row],[Perf_Score]]&gt;=85,0.08,Table1[[#This Row],[Perf_Score]]&gt;=70,0.05,Table1[[#This Row],[Perf_Score]]&gt;=50,0.02,Table1[[#This Row],[Perf_Score]]&gt;=0,0)</f>
        <v>0.02</v>
      </c>
    </row>
    <row r="3" spans="1:13" x14ac:dyDescent="0.25">
      <c r="A3" t="s">
        <v>12</v>
      </c>
      <c r="B3" t="s">
        <v>13</v>
      </c>
      <c r="C3" t="s">
        <v>14</v>
      </c>
      <c r="D3" t="s">
        <v>15</v>
      </c>
      <c r="E3" s="7">
        <v>44659</v>
      </c>
      <c r="F3" s="5">
        <v>112673</v>
      </c>
      <c r="G3">
        <v>68</v>
      </c>
      <c r="H3" t="str">
        <f ca="1">TRIM(PROPER(Table1[[#This Row],[Employment Status]]))</f>
        <v>Active</v>
      </c>
      <c r="I3" t="str">
        <f>VLOOKUP(Table1[[#This Row],[Dept Code]],Lookup_Departments!$A$2:$B$7,2,FALSE)</f>
        <v>Marketing</v>
      </c>
      <c r="J3" t="str">
        <f>CONCATENATE(Table1[[#This Row],[Last_Name]]," "," ",Table1[[#This Row],[First_Name]])</f>
        <v>Hernandez  Richard</v>
      </c>
      <c r="K3">
        <f ca="1">DATEDIF(Table1[[#This Row],[Hire Date]],TODAY(),"Y")</f>
        <v>4</v>
      </c>
      <c r="L3" t="str" cm="1">
        <f t="array" ref="L3">_xlfn.IFS(Table1[[#This Row],[Perf_Score]]&gt;=95,"Outstanding",Table1[[#This Row],[Perf_Score]]&gt;=85,"Exceeding",Table1[[#This Row],[Perf_Score]]&gt;=70,"Achieving",Table1[[#This Row],[Perf_Score]]&gt;=50,"Developing",Table1[[#This Row],[Perf_Score]]&gt;=0,"Needs Improvement")</f>
        <v>Developing</v>
      </c>
      <c r="M3" s="14" cm="1">
        <f t="array" ref="M3">_xlfn.IFS(Table1[[#This Row],[Perf_Score]]&gt;=95,0.12,Table1[[#This Row],[Perf_Score]]&gt;=85,0.08,Table1[[#This Row],[Perf_Score]]&gt;=70,0.05,Table1[[#This Row],[Perf_Score]]&gt;=50,0.02,Table1[[#This Row],[Perf_Score]]&gt;=0,0)</f>
        <v>0.02</v>
      </c>
    </row>
    <row r="4" spans="1:13" x14ac:dyDescent="0.25">
      <c r="A4" t="s">
        <v>16</v>
      </c>
      <c r="B4" t="s">
        <v>9</v>
      </c>
      <c r="C4" t="s">
        <v>17</v>
      </c>
      <c r="D4" t="s">
        <v>11</v>
      </c>
      <c r="E4" s="7">
        <v>42431</v>
      </c>
      <c r="F4" s="5">
        <v>114425</v>
      </c>
      <c r="G4">
        <v>54</v>
      </c>
      <c r="H4" t="str">
        <f ca="1">TRIM(PROPER(Table1[[#This Row],[Employment Status]]))</f>
        <v>Left</v>
      </c>
      <c r="I4" t="str">
        <f>VLOOKUP(Table1[[#This Row],[Dept Code]],Lookup_Departments!$A$2:$B$7,2,FALSE)</f>
        <v>Information Technology</v>
      </c>
      <c r="J4" t="str">
        <f>CONCATENATE(Table1[[#This Row],[Last_Name]]," "," ",Table1[[#This Row],[First_Name]])</f>
        <v>Gonzalez  Emily</v>
      </c>
      <c r="K4">
        <f ca="1">DATEDIF(Table1[[#This Row],[Hire Date]],TODAY(),"Y")</f>
        <v>10</v>
      </c>
      <c r="L4" t="str" cm="1">
        <f t="array" ref="L4">_xlfn.IFS(Table1[[#This Row],[Perf_Score]]&gt;=95,"Outstanding",Table1[[#This Row],[Perf_Score]]&gt;=85,"Exceeding",Table1[[#This Row],[Perf_Score]]&gt;=70,"Achieving",Table1[[#This Row],[Perf_Score]]&gt;=50,"Developing",Table1[[#This Row],[Perf_Score]]&gt;=0,"Needs Improvement")</f>
        <v>Developing</v>
      </c>
      <c r="M4" s="14" cm="1">
        <f t="array" ref="M4">_xlfn.IFS(Table1[[#This Row],[Perf_Score]]&gt;=95,0.12,Table1[[#This Row],[Perf_Score]]&gt;=85,0.08,Table1[[#This Row],[Perf_Score]]&gt;=70,0.05,Table1[[#This Row],[Perf_Score]]&gt;=50,0.02,Table1[[#This Row],[Perf_Score]]&gt;=0,0)</f>
        <v>0.02</v>
      </c>
    </row>
    <row r="5" spans="1:13" x14ac:dyDescent="0.25">
      <c r="A5" t="s">
        <v>18</v>
      </c>
      <c r="B5" t="s">
        <v>19</v>
      </c>
      <c r="C5" t="s">
        <v>20</v>
      </c>
      <c r="D5" t="s">
        <v>21</v>
      </c>
      <c r="E5" s="7">
        <v>45110</v>
      </c>
      <c r="F5" s="5">
        <v>103831</v>
      </c>
      <c r="G5">
        <v>70</v>
      </c>
      <c r="H5" t="str">
        <f ca="1">TRIM(PROPER(Table1[[#This Row],[Employment Status]]))</f>
        <v>Active</v>
      </c>
      <c r="I5" t="str">
        <f>VLOOKUP(Table1[[#This Row],[Dept Code]],Lookup_Departments!$A$2:$B$7,2,FALSE)</f>
        <v>Finance</v>
      </c>
      <c r="J5" t="str">
        <f>CONCATENATE(Table1[[#This Row],[Last_Name]]," "," ",Table1[[#This Row],[First_Name]])</f>
        <v>Martinez  John</v>
      </c>
      <c r="K5">
        <f ca="1">DATEDIF(Table1[[#This Row],[Hire Date]],TODAY(),"Y")</f>
        <v>3</v>
      </c>
      <c r="L5" t="str" cm="1">
        <f t="array" ref="L5">_xlfn.IFS(Table1[[#This Row],[Perf_Score]]&gt;=95,"Outstanding",Table1[[#This Row],[Perf_Score]]&gt;=85,"Exceeding",Table1[[#This Row],[Perf_Score]]&gt;=70,"Achieving",Table1[[#This Row],[Perf_Score]]&gt;=50,"Developing",Table1[[#This Row],[Perf_Score]]&gt;=0,"Needs Improvement")</f>
        <v>Achieving</v>
      </c>
      <c r="M5" s="14" cm="1">
        <f t="array" ref="M5">_xlfn.IFS(Table1[[#This Row],[Perf_Score]]&gt;=95,0.12,Table1[[#This Row],[Perf_Score]]&gt;=85,0.08,Table1[[#This Row],[Perf_Score]]&gt;=70,0.05,Table1[[#This Row],[Perf_Score]]&gt;=50,0.02,Table1[[#This Row],[Perf_Score]]&gt;=0,0)</f>
        <v>0.05</v>
      </c>
    </row>
    <row r="6" spans="1:13" x14ac:dyDescent="0.25">
      <c r="A6" t="s">
        <v>22</v>
      </c>
      <c r="B6" t="s">
        <v>23</v>
      </c>
      <c r="C6" t="s">
        <v>24</v>
      </c>
      <c r="D6" t="s">
        <v>11</v>
      </c>
      <c r="E6" s="7">
        <v>44977</v>
      </c>
      <c r="F6" s="5">
        <v>73785</v>
      </c>
      <c r="G6">
        <v>40</v>
      </c>
      <c r="H6" t="str">
        <f ca="1">TRIM(PROPER(Table1[[#This Row],[Employment Status]]))</f>
        <v>Left</v>
      </c>
      <c r="I6" t="str">
        <f>VLOOKUP(Table1[[#This Row],[Dept Code]],Lookup_Departments!$A$2:$B$7,2,FALSE)</f>
        <v>Information Technology</v>
      </c>
      <c r="J6" t="str">
        <f>CONCATENATE(Table1[[#This Row],[Last_Name]]," "," ",Table1[[#This Row],[First_Name]])</f>
        <v>Smith  Thomas</v>
      </c>
      <c r="K6">
        <f ca="1">DATEDIF(Table1[[#This Row],[Hire Date]],TODAY(),"Y")</f>
        <v>3</v>
      </c>
      <c r="L6" t="str" cm="1">
        <f t="array" ref="L6">_xlfn.IFS(Table1[[#This Row],[Perf_Score]]&gt;=95,"Outstanding",Table1[[#This Row],[Perf_Score]]&gt;=85,"Exceeding",Table1[[#This Row],[Perf_Score]]&gt;=70,"Achieving",Table1[[#This Row],[Perf_Score]]&gt;=50,"Developing",Table1[[#This Row],[Perf_Score]]&gt;=0,"Needs Improvement")</f>
        <v>Needs Improvement</v>
      </c>
      <c r="M6" s="14" cm="1">
        <f t="array" ref="M6">_xlfn.IFS(Table1[[#This Row],[Perf_Score]]&gt;=95,0.12,Table1[[#This Row],[Perf_Score]]&gt;=85,0.08,Table1[[#This Row],[Perf_Score]]&gt;=70,0.05,Table1[[#This Row],[Perf_Score]]&gt;=50,0.02,Table1[[#This Row],[Perf_Score]]&gt;=0,0)</f>
        <v>0</v>
      </c>
    </row>
    <row r="7" spans="1:13" x14ac:dyDescent="0.25">
      <c r="A7" t="s">
        <v>25</v>
      </c>
      <c r="B7" t="s">
        <v>9</v>
      </c>
      <c r="C7" t="s">
        <v>26</v>
      </c>
      <c r="D7" t="s">
        <v>27</v>
      </c>
      <c r="E7" s="7">
        <v>43892</v>
      </c>
      <c r="F7" s="5">
        <v>115882</v>
      </c>
      <c r="G7">
        <v>49</v>
      </c>
      <c r="H7" t="str">
        <f ca="1">TRIM(PROPER(Table1[[#This Row],[Employment Status]]))</f>
        <v>Active</v>
      </c>
      <c r="I7" t="str">
        <f>VLOOKUP(Table1[[#This Row],[Dept Code]],Lookup_Departments!$A$2:$B$7,2,FALSE)</f>
        <v>Operations</v>
      </c>
      <c r="J7" t="str">
        <f>CONCATENATE(Table1[[#This Row],[Last_Name]]," "," ",Table1[[#This Row],[First_Name]])</f>
        <v>Johnson  Emily</v>
      </c>
      <c r="K7">
        <f ca="1">DATEDIF(Table1[[#This Row],[Hire Date]],TODAY(),"Y")</f>
        <v>6</v>
      </c>
      <c r="L7" t="str" cm="1">
        <f t="array" ref="L7">_xlfn.IFS(Table1[[#This Row],[Perf_Score]]&gt;=95,"Outstanding",Table1[[#This Row],[Perf_Score]]&gt;=85,"Exceeding",Table1[[#This Row],[Perf_Score]]&gt;=70,"Achieving",Table1[[#This Row],[Perf_Score]]&gt;=50,"Developing",Table1[[#This Row],[Perf_Score]]&gt;=0,"Needs Improvement")</f>
        <v>Needs Improvement</v>
      </c>
      <c r="M7" s="14" cm="1">
        <f t="array" ref="M7">_xlfn.IFS(Table1[[#This Row],[Perf_Score]]&gt;=95,0.12,Table1[[#This Row],[Perf_Score]]&gt;=85,0.08,Table1[[#This Row],[Perf_Score]]&gt;=70,0.05,Table1[[#This Row],[Perf_Score]]&gt;=50,0.02,Table1[[#This Row],[Perf_Score]]&gt;=0,0)</f>
        <v>0</v>
      </c>
    </row>
    <row r="8" spans="1:13" x14ac:dyDescent="0.25">
      <c r="A8" t="s">
        <v>28</v>
      </c>
      <c r="B8" t="s">
        <v>19</v>
      </c>
      <c r="C8" t="s">
        <v>29</v>
      </c>
      <c r="D8" t="s">
        <v>27</v>
      </c>
      <c r="E8" s="7">
        <v>45272</v>
      </c>
      <c r="F8" s="5">
        <v>59980</v>
      </c>
      <c r="G8">
        <v>70</v>
      </c>
      <c r="H8" t="str">
        <f ca="1">TRIM(PROPER(Table1[[#This Row],[Employment Status]]))</f>
        <v>Left</v>
      </c>
      <c r="I8" t="str">
        <f>VLOOKUP(Table1[[#This Row],[Dept Code]],Lookup_Departments!$A$2:$B$7,2,FALSE)</f>
        <v>Operations</v>
      </c>
      <c r="J8" t="str">
        <f>CONCATENATE(Table1[[#This Row],[Last_Name]]," "," ",Table1[[#This Row],[First_Name]])</f>
        <v>Wilson  John</v>
      </c>
      <c r="K8">
        <f ca="1">DATEDIF(Table1[[#This Row],[Hire Date]],TODAY(),"Y")</f>
        <v>2</v>
      </c>
      <c r="L8" t="str" cm="1">
        <f t="array" ref="L8">_xlfn.IFS(Table1[[#This Row],[Perf_Score]]&gt;=95,"Outstanding",Table1[[#This Row],[Perf_Score]]&gt;=85,"Exceeding",Table1[[#This Row],[Perf_Score]]&gt;=70,"Achieving",Table1[[#This Row],[Perf_Score]]&gt;=50,"Developing",Table1[[#This Row],[Perf_Score]]&gt;=0,"Needs Improvement")</f>
        <v>Achieving</v>
      </c>
      <c r="M8" s="14" cm="1">
        <f t="array" ref="M8">_xlfn.IFS(Table1[[#This Row],[Perf_Score]]&gt;=95,0.12,Table1[[#This Row],[Perf_Score]]&gt;=85,0.08,Table1[[#This Row],[Perf_Score]]&gt;=70,0.05,Table1[[#This Row],[Perf_Score]]&gt;=50,0.02,Table1[[#This Row],[Perf_Score]]&gt;=0,0)</f>
        <v>0.05</v>
      </c>
    </row>
    <row r="9" spans="1:13" x14ac:dyDescent="0.25">
      <c r="A9" t="s">
        <v>30</v>
      </c>
      <c r="B9" t="s">
        <v>31</v>
      </c>
      <c r="C9" t="s">
        <v>24</v>
      </c>
      <c r="D9" t="s">
        <v>27</v>
      </c>
      <c r="E9" s="7">
        <v>44174</v>
      </c>
      <c r="F9" s="5">
        <v>68728</v>
      </c>
      <c r="G9">
        <v>45</v>
      </c>
      <c r="H9" t="str">
        <f ca="1">TRIM(PROPER(Table1[[#This Row],[Employment Status]]))</f>
        <v>Active</v>
      </c>
      <c r="I9" t="str">
        <f>VLOOKUP(Table1[[#This Row],[Dept Code]],Lookup_Departments!$A$2:$B$7,2,FALSE)</f>
        <v>Operations</v>
      </c>
      <c r="J9" t="str">
        <f>CONCATENATE(Table1[[#This Row],[Last_Name]]," "," ",Table1[[#This Row],[First_Name]])</f>
        <v>Smith  Jessica</v>
      </c>
      <c r="K9">
        <f ca="1">DATEDIF(Table1[[#This Row],[Hire Date]],TODAY(),"Y")</f>
        <v>5</v>
      </c>
      <c r="L9" t="str" cm="1">
        <f t="array" ref="L9">_xlfn.IFS(Table1[[#This Row],[Perf_Score]]&gt;=95,"Outstanding",Table1[[#This Row],[Perf_Score]]&gt;=85,"Exceeding",Table1[[#This Row],[Perf_Score]]&gt;=70,"Achieving",Table1[[#This Row],[Perf_Score]]&gt;=50,"Developing",Table1[[#This Row],[Perf_Score]]&gt;=0,"Needs Improvement")</f>
        <v>Needs Improvement</v>
      </c>
      <c r="M9" s="14" cm="1">
        <f t="array" ref="M9">_xlfn.IFS(Table1[[#This Row],[Perf_Score]]&gt;=95,0.12,Table1[[#This Row],[Perf_Score]]&gt;=85,0.08,Table1[[#This Row],[Perf_Score]]&gt;=70,0.05,Table1[[#This Row],[Perf_Score]]&gt;=50,0.02,Table1[[#This Row],[Perf_Score]]&gt;=0,0)</f>
        <v>0</v>
      </c>
    </row>
    <row r="10" spans="1:13" x14ac:dyDescent="0.25">
      <c r="A10" t="s">
        <v>32</v>
      </c>
      <c r="B10" t="s">
        <v>31</v>
      </c>
      <c r="C10" t="s">
        <v>33</v>
      </c>
      <c r="D10" t="s">
        <v>21</v>
      </c>
      <c r="E10" s="7">
        <v>43107</v>
      </c>
      <c r="F10" s="5">
        <v>102139</v>
      </c>
      <c r="G10">
        <v>79</v>
      </c>
      <c r="H10" t="str">
        <f ca="1">TRIM(PROPER(Table1[[#This Row],[Employment Status]]))</f>
        <v>Active</v>
      </c>
      <c r="I10" t="str">
        <f>VLOOKUP(Table1[[#This Row],[Dept Code]],Lookup_Departments!$A$2:$B$7,2,FALSE)</f>
        <v>Finance</v>
      </c>
      <c r="J10" t="str">
        <f>CONCATENATE(Table1[[#This Row],[Last_Name]]," "," ",Table1[[#This Row],[First_Name]])</f>
        <v>Rodriguez  Jessica</v>
      </c>
      <c r="K10">
        <f ca="1">DATEDIF(Table1[[#This Row],[Hire Date]],TODAY(),"Y")</f>
        <v>8</v>
      </c>
      <c r="L10" t="str" cm="1">
        <f t="array" ref="L10">_xlfn.IFS(Table1[[#This Row],[Perf_Score]]&gt;=95,"Outstanding",Table1[[#This Row],[Perf_Score]]&gt;=85,"Exceeding",Table1[[#This Row],[Perf_Score]]&gt;=70,"Achieving",Table1[[#This Row],[Perf_Score]]&gt;=50,"Developing",Table1[[#This Row],[Perf_Score]]&gt;=0,"Needs Improvement")</f>
        <v>Achieving</v>
      </c>
      <c r="M10" s="14" cm="1">
        <f t="array" ref="M10">_xlfn.IFS(Table1[[#This Row],[Perf_Score]]&gt;=95,0.12,Table1[[#This Row],[Perf_Score]]&gt;=85,0.08,Table1[[#This Row],[Perf_Score]]&gt;=70,0.05,Table1[[#This Row],[Perf_Score]]&gt;=50,0.02,Table1[[#This Row],[Perf_Score]]&gt;=0,0)</f>
        <v>0.05</v>
      </c>
    </row>
    <row r="11" spans="1:13" x14ac:dyDescent="0.25">
      <c r="A11" t="s">
        <v>34</v>
      </c>
      <c r="B11" t="s">
        <v>35</v>
      </c>
      <c r="C11" t="s">
        <v>20</v>
      </c>
      <c r="D11" t="s">
        <v>36</v>
      </c>
      <c r="E11" s="7">
        <v>42676</v>
      </c>
      <c r="F11" s="5">
        <v>94998</v>
      </c>
      <c r="G11">
        <v>58</v>
      </c>
      <c r="H11" t="str">
        <f ca="1">TRIM(PROPER(Table1[[#This Row],[Employment Status]]))</f>
        <v>Active</v>
      </c>
      <c r="I11" t="str">
        <f>VLOOKUP(Table1[[#This Row],[Dept Code]],Lookup_Departments!$A$2:$B$7,2,FALSE)</f>
        <v>Sales</v>
      </c>
      <c r="J11" t="str">
        <f>CONCATENATE(Table1[[#This Row],[Last_Name]]," "," ",Table1[[#This Row],[First_Name]])</f>
        <v>Martinez  Michael</v>
      </c>
      <c r="K11">
        <f ca="1">DATEDIF(Table1[[#This Row],[Hire Date]],TODAY(),"Y")</f>
        <v>9</v>
      </c>
      <c r="L11" t="str" cm="1">
        <f t="array" ref="L11">_xlfn.IFS(Table1[[#This Row],[Perf_Score]]&gt;=95,"Outstanding",Table1[[#This Row],[Perf_Score]]&gt;=85,"Exceeding",Table1[[#This Row],[Perf_Score]]&gt;=70,"Achieving",Table1[[#This Row],[Perf_Score]]&gt;=50,"Developing",Table1[[#This Row],[Perf_Score]]&gt;=0,"Needs Improvement")</f>
        <v>Developing</v>
      </c>
      <c r="M11" s="14" cm="1">
        <f t="array" ref="M11">_xlfn.IFS(Table1[[#This Row],[Perf_Score]]&gt;=95,0.12,Table1[[#This Row],[Perf_Score]]&gt;=85,0.08,Table1[[#This Row],[Perf_Score]]&gt;=70,0.05,Table1[[#This Row],[Perf_Score]]&gt;=50,0.02,Table1[[#This Row],[Perf_Score]]&gt;=0,0)</f>
        <v>0.02</v>
      </c>
    </row>
    <row r="12" spans="1:13" x14ac:dyDescent="0.25">
      <c r="A12" t="s">
        <v>37</v>
      </c>
      <c r="B12" t="s">
        <v>9</v>
      </c>
      <c r="C12" t="s">
        <v>38</v>
      </c>
      <c r="D12" t="s">
        <v>36</v>
      </c>
      <c r="E12" s="7">
        <v>43911</v>
      </c>
      <c r="F12" s="5">
        <v>118635</v>
      </c>
      <c r="G12">
        <v>49</v>
      </c>
      <c r="H12" t="str">
        <f ca="1">TRIM(PROPER(Table1[[#This Row],[Employment Status]]))</f>
        <v>Active</v>
      </c>
      <c r="I12" t="str">
        <f>VLOOKUP(Table1[[#This Row],[Dept Code]],Lookup_Departments!$A$2:$B$7,2,FALSE)</f>
        <v>Sales</v>
      </c>
      <c r="J12" t="str">
        <f>CONCATENATE(Table1[[#This Row],[Last_Name]]," "," ",Table1[[#This Row],[First_Name]])</f>
        <v>Miller  Emily</v>
      </c>
      <c r="K12">
        <f ca="1">DATEDIF(Table1[[#This Row],[Hire Date]],TODAY(),"Y")</f>
        <v>6</v>
      </c>
      <c r="L12" t="str" cm="1">
        <f t="array" ref="L12">_xlfn.IFS(Table1[[#This Row],[Perf_Score]]&gt;=95,"Outstanding",Table1[[#This Row],[Perf_Score]]&gt;=85,"Exceeding",Table1[[#This Row],[Perf_Score]]&gt;=70,"Achieving",Table1[[#This Row],[Perf_Score]]&gt;=50,"Developing",Table1[[#This Row],[Perf_Score]]&gt;=0,"Needs Improvement")</f>
        <v>Needs Improvement</v>
      </c>
      <c r="M12" s="14" cm="1">
        <f t="array" ref="M12">_xlfn.IFS(Table1[[#This Row],[Perf_Score]]&gt;=95,0.12,Table1[[#This Row],[Perf_Score]]&gt;=85,0.08,Table1[[#This Row],[Perf_Score]]&gt;=70,0.05,Table1[[#This Row],[Perf_Score]]&gt;=50,0.02,Table1[[#This Row],[Perf_Score]]&gt;=0,0)</f>
        <v>0</v>
      </c>
    </row>
    <row r="13" spans="1:13" x14ac:dyDescent="0.25">
      <c r="A13" t="s">
        <v>39</v>
      </c>
      <c r="B13" t="s">
        <v>9</v>
      </c>
      <c r="C13" t="s">
        <v>14</v>
      </c>
      <c r="D13" t="s">
        <v>11</v>
      </c>
      <c r="E13" s="7">
        <v>42425</v>
      </c>
      <c r="F13" s="5">
        <v>76918</v>
      </c>
      <c r="G13">
        <v>62</v>
      </c>
      <c r="H13" t="str">
        <f ca="1">TRIM(PROPER(Table1[[#This Row],[Employment Status]]))</f>
        <v>Active</v>
      </c>
      <c r="I13" t="str">
        <f>VLOOKUP(Table1[[#This Row],[Dept Code]],Lookup_Departments!$A$2:$B$7,2,FALSE)</f>
        <v>Information Technology</v>
      </c>
      <c r="J13" t="str">
        <f>CONCATENATE(Table1[[#This Row],[Last_Name]]," "," ",Table1[[#This Row],[First_Name]])</f>
        <v>Hernandez  Emily</v>
      </c>
      <c r="K13">
        <f ca="1">DATEDIF(Table1[[#This Row],[Hire Date]],TODAY(),"Y")</f>
        <v>10</v>
      </c>
      <c r="L13" t="str" cm="1">
        <f t="array" ref="L13">_xlfn.IFS(Table1[[#This Row],[Perf_Score]]&gt;=95,"Outstanding",Table1[[#This Row],[Perf_Score]]&gt;=85,"Exceeding",Table1[[#This Row],[Perf_Score]]&gt;=70,"Achieving",Table1[[#This Row],[Perf_Score]]&gt;=50,"Developing",Table1[[#This Row],[Perf_Score]]&gt;=0,"Needs Improvement")</f>
        <v>Developing</v>
      </c>
      <c r="M13" s="14" cm="1">
        <f t="array" ref="M13">_xlfn.IFS(Table1[[#This Row],[Perf_Score]]&gt;=95,0.12,Table1[[#This Row],[Perf_Score]]&gt;=85,0.08,Table1[[#This Row],[Perf_Score]]&gt;=70,0.05,Table1[[#This Row],[Perf_Score]]&gt;=50,0.02,Table1[[#This Row],[Perf_Score]]&gt;=0,0)</f>
        <v>0.02</v>
      </c>
    </row>
    <row r="14" spans="1:13" x14ac:dyDescent="0.25">
      <c r="A14" t="s">
        <v>40</v>
      </c>
      <c r="B14" t="s">
        <v>41</v>
      </c>
      <c r="C14" t="s">
        <v>42</v>
      </c>
      <c r="D14" t="s">
        <v>15</v>
      </c>
      <c r="E14" s="7">
        <v>44364</v>
      </c>
      <c r="F14" s="5">
        <v>61408</v>
      </c>
      <c r="G14">
        <v>48</v>
      </c>
      <c r="H14" t="str">
        <f ca="1">TRIM(PROPER(Table1[[#This Row],[Employment Status]]))</f>
        <v>Active</v>
      </c>
      <c r="I14" t="str">
        <f>VLOOKUP(Table1[[#This Row],[Dept Code]],Lookup_Departments!$A$2:$B$7,2,FALSE)</f>
        <v>Marketing</v>
      </c>
      <c r="J14" t="str">
        <f>CONCATENATE(Table1[[#This Row],[Last_Name]]," "," ",Table1[[#This Row],[First_Name]])</f>
        <v>Williams  Jane</v>
      </c>
      <c r="K14">
        <f ca="1">DATEDIF(Table1[[#This Row],[Hire Date]],TODAY(),"Y")</f>
        <v>5</v>
      </c>
      <c r="L14" t="str" cm="1">
        <f t="array" ref="L14">_xlfn.IFS(Table1[[#This Row],[Perf_Score]]&gt;=95,"Outstanding",Table1[[#This Row],[Perf_Score]]&gt;=85,"Exceeding",Table1[[#This Row],[Perf_Score]]&gt;=70,"Achieving",Table1[[#This Row],[Perf_Score]]&gt;=50,"Developing",Table1[[#This Row],[Perf_Score]]&gt;=0,"Needs Improvement")</f>
        <v>Needs Improvement</v>
      </c>
      <c r="M14" s="14" cm="1">
        <f t="array" ref="M14">_xlfn.IFS(Table1[[#This Row],[Perf_Score]]&gt;=95,0.12,Table1[[#This Row],[Perf_Score]]&gt;=85,0.08,Table1[[#This Row],[Perf_Score]]&gt;=70,0.05,Table1[[#This Row],[Perf_Score]]&gt;=50,0.02,Table1[[#This Row],[Perf_Score]]&gt;=0,0)</f>
        <v>0</v>
      </c>
    </row>
    <row r="15" spans="1:13" x14ac:dyDescent="0.25">
      <c r="A15" t="s">
        <v>43</v>
      </c>
      <c r="B15" t="s">
        <v>41</v>
      </c>
      <c r="C15" t="s">
        <v>38</v>
      </c>
      <c r="D15" t="s">
        <v>15</v>
      </c>
      <c r="E15" s="7">
        <v>44001</v>
      </c>
      <c r="F15" s="5">
        <v>99990</v>
      </c>
      <c r="G15">
        <v>54</v>
      </c>
      <c r="H15" t="str">
        <f ca="1">TRIM(PROPER(Table1[[#This Row],[Employment Status]]))</f>
        <v>Active</v>
      </c>
      <c r="I15" t="str">
        <f>VLOOKUP(Table1[[#This Row],[Dept Code]],Lookup_Departments!$A$2:$B$7,2,FALSE)</f>
        <v>Marketing</v>
      </c>
      <c r="J15" t="str">
        <f>CONCATENATE(Table1[[#This Row],[Last_Name]]," "," ",Table1[[#This Row],[First_Name]])</f>
        <v>Miller  Jane</v>
      </c>
      <c r="K15">
        <f ca="1">DATEDIF(Table1[[#This Row],[Hire Date]],TODAY(),"Y")</f>
        <v>6</v>
      </c>
      <c r="L15" t="str" cm="1">
        <f t="array" ref="L15">_xlfn.IFS(Table1[[#This Row],[Perf_Score]]&gt;=95,"Outstanding",Table1[[#This Row],[Perf_Score]]&gt;=85,"Exceeding",Table1[[#This Row],[Perf_Score]]&gt;=70,"Achieving",Table1[[#This Row],[Perf_Score]]&gt;=50,"Developing",Table1[[#This Row],[Perf_Score]]&gt;=0,"Needs Improvement")</f>
        <v>Developing</v>
      </c>
      <c r="M15" s="14" cm="1">
        <f t="array" ref="M15">_xlfn.IFS(Table1[[#This Row],[Perf_Score]]&gt;=95,0.12,Table1[[#This Row],[Perf_Score]]&gt;=85,0.08,Table1[[#This Row],[Perf_Score]]&gt;=70,0.05,Table1[[#This Row],[Perf_Score]]&gt;=50,0.02,Table1[[#This Row],[Perf_Score]]&gt;=0,0)</f>
        <v>0.02</v>
      </c>
    </row>
    <row r="16" spans="1:13" x14ac:dyDescent="0.25">
      <c r="A16" t="s">
        <v>44</v>
      </c>
      <c r="B16" t="s">
        <v>45</v>
      </c>
      <c r="C16" t="s">
        <v>46</v>
      </c>
      <c r="D16" t="s">
        <v>15</v>
      </c>
      <c r="E16" s="7">
        <v>43820</v>
      </c>
      <c r="F16" s="5">
        <v>80385</v>
      </c>
      <c r="G16">
        <v>68</v>
      </c>
      <c r="H16" t="str">
        <f ca="1">TRIM(PROPER(Table1[[#This Row],[Employment Status]]))</f>
        <v>Active</v>
      </c>
      <c r="I16" t="str">
        <f>VLOOKUP(Table1[[#This Row],[Dept Code]],Lookup_Departments!$A$2:$B$7,2,FALSE)</f>
        <v>Marketing</v>
      </c>
      <c r="J16" t="str">
        <f>CONCATENATE(Table1[[#This Row],[Last_Name]]," "," ",Table1[[#This Row],[First_Name]])</f>
        <v>Jones  Robert</v>
      </c>
      <c r="K16">
        <f ca="1">DATEDIF(Table1[[#This Row],[Hire Date]],TODAY(),"Y")</f>
        <v>6</v>
      </c>
      <c r="L16" t="str" cm="1">
        <f t="array" ref="L16">_xlfn.IFS(Table1[[#This Row],[Perf_Score]]&gt;=95,"Outstanding",Table1[[#This Row],[Perf_Score]]&gt;=85,"Exceeding",Table1[[#This Row],[Perf_Score]]&gt;=70,"Achieving",Table1[[#This Row],[Perf_Score]]&gt;=50,"Developing",Table1[[#This Row],[Perf_Score]]&gt;=0,"Needs Improvement")</f>
        <v>Developing</v>
      </c>
      <c r="M16" s="14" cm="1">
        <f t="array" ref="M16">_xlfn.IFS(Table1[[#This Row],[Perf_Score]]&gt;=95,0.12,Table1[[#This Row],[Perf_Score]]&gt;=85,0.08,Table1[[#This Row],[Perf_Score]]&gt;=70,0.05,Table1[[#This Row],[Perf_Score]]&gt;=50,0.02,Table1[[#This Row],[Perf_Score]]&gt;=0,0)</f>
        <v>0.02</v>
      </c>
    </row>
    <row r="17" spans="1:13" x14ac:dyDescent="0.25">
      <c r="A17" t="s">
        <v>47</v>
      </c>
      <c r="B17" t="s">
        <v>23</v>
      </c>
      <c r="C17" t="s">
        <v>33</v>
      </c>
      <c r="D17" t="s">
        <v>36</v>
      </c>
      <c r="E17" s="7">
        <v>45169</v>
      </c>
      <c r="F17" s="5">
        <v>65290</v>
      </c>
      <c r="G17">
        <v>77</v>
      </c>
      <c r="H17" t="str">
        <f ca="1">TRIM(PROPER(Table1[[#This Row],[Employment Status]]))</f>
        <v>Active</v>
      </c>
      <c r="I17" t="str">
        <f>VLOOKUP(Table1[[#This Row],[Dept Code]],Lookup_Departments!$A$2:$B$7,2,FALSE)</f>
        <v>Sales</v>
      </c>
      <c r="J17" t="str">
        <f>CONCATENATE(Table1[[#This Row],[Last_Name]]," "," ",Table1[[#This Row],[First_Name]])</f>
        <v>Rodriguez  Thomas</v>
      </c>
      <c r="K17">
        <f ca="1">DATEDIF(Table1[[#This Row],[Hire Date]],TODAY(),"Y")</f>
        <v>2</v>
      </c>
      <c r="L17" t="str" cm="1">
        <f t="array" ref="L17">_xlfn.IFS(Table1[[#This Row],[Perf_Score]]&gt;=95,"Outstanding",Table1[[#This Row],[Perf_Score]]&gt;=85,"Exceeding",Table1[[#This Row],[Perf_Score]]&gt;=70,"Achieving",Table1[[#This Row],[Perf_Score]]&gt;=50,"Developing",Table1[[#This Row],[Perf_Score]]&gt;=0,"Needs Improvement")</f>
        <v>Achieving</v>
      </c>
      <c r="M17" s="14" cm="1">
        <f t="array" ref="M17">_xlfn.IFS(Table1[[#This Row],[Perf_Score]]&gt;=95,0.12,Table1[[#This Row],[Perf_Score]]&gt;=85,0.08,Table1[[#This Row],[Perf_Score]]&gt;=70,0.05,Table1[[#This Row],[Perf_Score]]&gt;=50,0.02,Table1[[#This Row],[Perf_Score]]&gt;=0,0)</f>
        <v>0.05</v>
      </c>
    </row>
    <row r="18" spans="1:13" x14ac:dyDescent="0.25">
      <c r="A18" t="s">
        <v>48</v>
      </c>
      <c r="B18" t="s">
        <v>9</v>
      </c>
      <c r="C18" t="s">
        <v>49</v>
      </c>
      <c r="D18" t="s">
        <v>11</v>
      </c>
      <c r="E18" s="7">
        <v>42337</v>
      </c>
      <c r="F18" s="5">
        <v>105765</v>
      </c>
      <c r="G18">
        <v>42</v>
      </c>
      <c r="H18" t="str">
        <f ca="1">TRIM(PROPER(Table1[[#This Row],[Employment Status]]))</f>
        <v>Active</v>
      </c>
      <c r="I18" t="str">
        <f>VLOOKUP(Table1[[#This Row],[Dept Code]],Lookup_Departments!$A$2:$B$7,2,FALSE)</f>
        <v>Information Technology</v>
      </c>
      <c r="J18" t="str">
        <f>CONCATENATE(Table1[[#This Row],[Last_Name]]," "," ",Table1[[#This Row],[First_Name]])</f>
        <v>Davis  Emily</v>
      </c>
      <c r="K18">
        <f ca="1">DATEDIF(Table1[[#This Row],[Hire Date]],TODAY(),"Y")</f>
        <v>10</v>
      </c>
      <c r="L18" t="str" cm="1">
        <f t="array" ref="L18">_xlfn.IFS(Table1[[#This Row],[Perf_Score]]&gt;=95,"Outstanding",Table1[[#This Row],[Perf_Score]]&gt;=85,"Exceeding",Table1[[#This Row],[Perf_Score]]&gt;=70,"Achieving",Table1[[#This Row],[Perf_Score]]&gt;=50,"Developing",Table1[[#This Row],[Perf_Score]]&gt;=0,"Needs Improvement")</f>
        <v>Needs Improvement</v>
      </c>
      <c r="M18" s="14" cm="1">
        <f t="array" ref="M18">_xlfn.IFS(Table1[[#This Row],[Perf_Score]]&gt;=95,0.12,Table1[[#This Row],[Perf_Score]]&gt;=85,0.08,Table1[[#This Row],[Perf_Score]]&gt;=70,0.05,Table1[[#This Row],[Perf_Score]]&gt;=50,0.02,Table1[[#This Row],[Perf_Score]]&gt;=0,0)</f>
        <v>0</v>
      </c>
    </row>
    <row r="19" spans="1:13" x14ac:dyDescent="0.25">
      <c r="A19" t="s">
        <v>50</v>
      </c>
      <c r="B19" t="s">
        <v>51</v>
      </c>
      <c r="C19" t="s">
        <v>20</v>
      </c>
      <c r="D19" t="s">
        <v>36</v>
      </c>
      <c r="E19" s="7">
        <v>42899</v>
      </c>
      <c r="F19" s="5">
        <v>102921</v>
      </c>
      <c r="G19">
        <v>49</v>
      </c>
      <c r="H19" t="str">
        <f ca="1">TRIM(PROPER(Table1[[#This Row],[Employment Status]]))</f>
        <v>Active</v>
      </c>
      <c r="I19" t="str">
        <f>VLOOKUP(Table1[[#This Row],[Dept Code]],Lookup_Departments!$A$2:$B$7,2,FALSE)</f>
        <v>Sales</v>
      </c>
      <c r="J19" t="str">
        <f>CONCATENATE(Table1[[#This Row],[Last_Name]]," "," ",Table1[[#This Row],[First_Name]])</f>
        <v>Martinez  James</v>
      </c>
      <c r="K19">
        <f ca="1">DATEDIF(Table1[[#This Row],[Hire Date]],TODAY(),"Y")</f>
        <v>9</v>
      </c>
      <c r="L19" t="str" cm="1">
        <f t="array" ref="L19">_xlfn.IFS(Table1[[#This Row],[Perf_Score]]&gt;=95,"Outstanding",Table1[[#This Row],[Perf_Score]]&gt;=85,"Exceeding",Table1[[#This Row],[Perf_Score]]&gt;=70,"Achieving",Table1[[#This Row],[Perf_Score]]&gt;=50,"Developing",Table1[[#This Row],[Perf_Score]]&gt;=0,"Needs Improvement")</f>
        <v>Needs Improvement</v>
      </c>
      <c r="M19" s="14" cm="1">
        <f t="array" ref="M19">_xlfn.IFS(Table1[[#This Row],[Perf_Score]]&gt;=95,0.12,Table1[[#This Row],[Perf_Score]]&gt;=85,0.08,Table1[[#This Row],[Perf_Score]]&gt;=70,0.05,Table1[[#This Row],[Perf_Score]]&gt;=50,0.02,Table1[[#This Row],[Perf_Score]]&gt;=0,0)</f>
        <v>0</v>
      </c>
    </row>
    <row r="20" spans="1:13" x14ac:dyDescent="0.25">
      <c r="A20" t="s">
        <v>52</v>
      </c>
      <c r="B20" t="s">
        <v>53</v>
      </c>
      <c r="C20" t="s">
        <v>54</v>
      </c>
      <c r="D20" t="s">
        <v>15</v>
      </c>
      <c r="E20" s="7">
        <v>43235</v>
      </c>
      <c r="F20" s="5">
        <v>73984</v>
      </c>
      <c r="G20">
        <v>93</v>
      </c>
      <c r="H20" t="str">
        <f ca="1">TRIM(PROPER(Table1[[#This Row],[Employment Status]]))</f>
        <v>Active</v>
      </c>
      <c r="I20" t="str">
        <f>VLOOKUP(Table1[[#This Row],[Dept Code]],Lookup_Departments!$A$2:$B$7,2,FALSE)</f>
        <v>Marketing</v>
      </c>
      <c r="J20" t="str">
        <f>CONCATENATE(Table1[[#This Row],[Last_Name]]," "," ",Table1[[#This Row],[First_Name]])</f>
        <v>Lopez  Ashley</v>
      </c>
      <c r="K20">
        <f ca="1">DATEDIF(Table1[[#This Row],[Hire Date]],TODAY(),"Y")</f>
        <v>8</v>
      </c>
      <c r="L20" t="str" cm="1">
        <f t="array" ref="L20">_xlfn.IFS(Table1[[#This Row],[Perf_Score]]&gt;=95,"Outstanding",Table1[[#This Row],[Perf_Score]]&gt;=85,"Exceeding",Table1[[#This Row],[Perf_Score]]&gt;=70,"Achieving",Table1[[#This Row],[Perf_Score]]&gt;=50,"Developing",Table1[[#This Row],[Perf_Score]]&gt;=0,"Needs Improvement")</f>
        <v>Exceeding</v>
      </c>
      <c r="M20" s="14" cm="1">
        <f t="array" ref="M20">_xlfn.IFS(Table1[[#This Row],[Perf_Score]]&gt;=95,0.12,Table1[[#This Row],[Perf_Score]]&gt;=85,0.08,Table1[[#This Row],[Perf_Score]]&gt;=70,0.05,Table1[[#This Row],[Perf_Score]]&gt;=50,0.02,Table1[[#This Row],[Perf_Score]]&gt;=0,0)</f>
        <v>0.08</v>
      </c>
    </row>
    <row r="21" spans="1:13" x14ac:dyDescent="0.25">
      <c r="A21" t="s">
        <v>55</v>
      </c>
      <c r="B21" t="s">
        <v>56</v>
      </c>
      <c r="C21" t="s">
        <v>17</v>
      </c>
      <c r="D21" t="s">
        <v>11</v>
      </c>
      <c r="E21" s="7">
        <v>42575</v>
      </c>
      <c r="F21" s="5">
        <v>83594</v>
      </c>
      <c r="G21">
        <v>75</v>
      </c>
      <c r="H21" t="str">
        <f ca="1">TRIM(PROPER(Table1[[#This Row],[Employment Status]]))</f>
        <v>Active</v>
      </c>
      <c r="I21" t="str">
        <f>VLOOKUP(Table1[[#This Row],[Dept Code]],Lookup_Departments!$A$2:$B$7,2,FALSE)</f>
        <v>Information Technology</v>
      </c>
      <c r="J21" t="str">
        <f>CONCATENATE(Table1[[#This Row],[Last_Name]]," "," ",Table1[[#This Row],[First_Name]])</f>
        <v>Gonzalez  Amanda</v>
      </c>
      <c r="K21">
        <f ca="1">DATEDIF(Table1[[#This Row],[Hire Date]],TODAY(),"Y")</f>
        <v>9</v>
      </c>
      <c r="L21" t="str" cm="1">
        <f t="array" ref="L21">_xlfn.IFS(Table1[[#This Row],[Perf_Score]]&gt;=95,"Outstanding",Table1[[#This Row],[Perf_Score]]&gt;=85,"Exceeding",Table1[[#This Row],[Perf_Score]]&gt;=70,"Achieving",Table1[[#This Row],[Perf_Score]]&gt;=50,"Developing",Table1[[#This Row],[Perf_Score]]&gt;=0,"Needs Improvement")</f>
        <v>Achieving</v>
      </c>
      <c r="M21" s="14" cm="1">
        <f t="array" ref="M21">_xlfn.IFS(Table1[[#This Row],[Perf_Score]]&gt;=95,0.12,Table1[[#This Row],[Perf_Score]]&gt;=85,0.08,Table1[[#This Row],[Perf_Score]]&gt;=70,0.05,Table1[[#This Row],[Perf_Score]]&gt;=50,0.02,Table1[[#This Row],[Perf_Score]]&gt;=0,0)</f>
        <v>0.05</v>
      </c>
    </row>
    <row r="22" spans="1:13" x14ac:dyDescent="0.25">
      <c r="A22" t="s">
        <v>57</v>
      </c>
      <c r="B22" t="s">
        <v>35</v>
      </c>
      <c r="C22" t="s">
        <v>14</v>
      </c>
      <c r="D22" t="s">
        <v>21</v>
      </c>
      <c r="E22" s="7">
        <v>43076</v>
      </c>
      <c r="F22" s="5">
        <v>118527</v>
      </c>
      <c r="G22">
        <v>50</v>
      </c>
      <c r="H22" t="str">
        <f ca="1">TRIM(PROPER(Table1[[#This Row],[Employment Status]]))</f>
        <v>Active</v>
      </c>
      <c r="I22" t="str">
        <f>VLOOKUP(Table1[[#This Row],[Dept Code]],Lookup_Departments!$A$2:$B$7,2,FALSE)</f>
        <v>Finance</v>
      </c>
      <c r="J22" t="str">
        <f>CONCATENATE(Table1[[#This Row],[Last_Name]]," "," ",Table1[[#This Row],[First_Name]])</f>
        <v>Hernandez  Michael</v>
      </c>
      <c r="K22">
        <f ca="1">DATEDIF(Table1[[#This Row],[Hire Date]],TODAY(),"Y")</f>
        <v>8</v>
      </c>
      <c r="L22" t="str" cm="1">
        <f t="array" ref="L22">_xlfn.IFS(Table1[[#This Row],[Perf_Score]]&gt;=95,"Outstanding",Table1[[#This Row],[Perf_Score]]&gt;=85,"Exceeding",Table1[[#This Row],[Perf_Score]]&gt;=70,"Achieving",Table1[[#This Row],[Perf_Score]]&gt;=50,"Developing",Table1[[#This Row],[Perf_Score]]&gt;=0,"Needs Improvement")</f>
        <v>Developing</v>
      </c>
      <c r="M22" s="14" cm="1">
        <f t="array" ref="M22">_xlfn.IFS(Table1[[#This Row],[Perf_Score]]&gt;=95,0.12,Table1[[#This Row],[Perf_Score]]&gt;=85,0.08,Table1[[#This Row],[Perf_Score]]&gt;=70,0.05,Table1[[#This Row],[Perf_Score]]&gt;=50,0.02,Table1[[#This Row],[Perf_Score]]&gt;=0,0)</f>
        <v>0.02</v>
      </c>
    </row>
    <row r="23" spans="1:13" x14ac:dyDescent="0.25">
      <c r="A23" t="s">
        <v>58</v>
      </c>
      <c r="B23" t="s">
        <v>13</v>
      </c>
      <c r="C23" t="s">
        <v>14</v>
      </c>
      <c r="D23" t="s">
        <v>15</v>
      </c>
      <c r="E23" s="7">
        <v>44353</v>
      </c>
      <c r="F23" s="5">
        <v>107871</v>
      </c>
      <c r="G23">
        <v>88</v>
      </c>
      <c r="H23" t="str">
        <f ca="1">TRIM(PROPER(Table1[[#This Row],[Employment Status]]))</f>
        <v>Active</v>
      </c>
      <c r="I23" t="str">
        <f>VLOOKUP(Table1[[#This Row],[Dept Code]],Lookup_Departments!$A$2:$B$7,2,FALSE)</f>
        <v>Marketing</v>
      </c>
      <c r="J23" t="str">
        <f>CONCATENATE(Table1[[#This Row],[Last_Name]]," "," ",Table1[[#This Row],[First_Name]])</f>
        <v>Hernandez  Richard</v>
      </c>
      <c r="K23">
        <f ca="1">DATEDIF(Table1[[#This Row],[Hire Date]],TODAY(),"Y")</f>
        <v>5</v>
      </c>
      <c r="L23" t="str" cm="1">
        <f t="array" ref="L23">_xlfn.IFS(Table1[[#This Row],[Perf_Score]]&gt;=95,"Outstanding",Table1[[#This Row],[Perf_Score]]&gt;=85,"Exceeding",Table1[[#This Row],[Perf_Score]]&gt;=70,"Achieving",Table1[[#This Row],[Perf_Score]]&gt;=50,"Developing",Table1[[#This Row],[Perf_Score]]&gt;=0,"Needs Improvement")</f>
        <v>Exceeding</v>
      </c>
      <c r="M23" s="14" cm="1">
        <f t="array" ref="M23">_xlfn.IFS(Table1[[#This Row],[Perf_Score]]&gt;=95,0.12,Table1[[#This Row],[Perf_Score]]&gt;=85,0.08,Table1[[#This Row],[Perf_Score]]&gt;=70,0.05,Table1[[#This Row],[Perf_Score]]&gt;=50,0.02,Table1[[#This Row],[Perf_Score]]&gt;=0,0)</f>
        <v>0.08</v>
      </c>
    </row>
    <row r="24" spans="1:13" x14ac:dyDescent="0.25">
      <c r="A24" t="s">
        <v>59</v>
      </c>
      <c r="B24" t="s">
        <v>35</v>
      </c>
      <c r="C24" t="s">
        <v>33</v>
      </c>
      <c r="D24" t="s">
        <v>11</v>
      </c>
      <c r="E24" s="7">
        <v>44815</v>
      </c>
      <c r="F24" s="5">
        <v>93956</v>
      </c>
      <c r="G24">
        <v>50</v>
      </c>
      <c r="H24" t="str">
        <f ca="1">TRIM(PROPER(Table1[[#This Row],[Employment Status]]))</f>
        <v>Left</v>
      </c>
      <c r="I24" t="str">
        <f>VLOOKUP(Table1[[#This Row],[Dept Code]],Lookup_Departments!$A$2:$B$7,2,FALSE)</f>
        <v>Information Technology</v>
      </c>
      <c r="J24" t="str">
        <f>CONCATENATE(Table1[[#This Row],[Last_Name]]," "," ",Table1[[#This Row],[First_Name]])</f>
        <v>Rodriguez  Michael</v>
      </c>
      <c r="K24">
        <f ca="1">DATEDIF(Table1[[#This Row],[Hire Date]],TODAY(),"Y")</f>
        <v>3</v>
      </c>
      <c r="L24" t="str" cm="1">
        <f t="array" ref="L24">_xlfn.IFS(Table1[[#This Row],[Perf_Score]]&gt;=95,"Outstanding",Table1[[#This Row],[Perf_Score]]&gt;=85,"Exceeding",Table1[[#This Row],[Perf_Score]]&gt;=70,"Achieving",Table1[[#This Row],[Perf_Score]]&gt;=50,"Developing",Table1[[#This Row],[Perf_Score]]&gt;=0,"Needs Improvement")</f>
        <v>Developing</v>
      </c>
      <c r="M24" s="14" cm="1">
        <f t="array" ref="M24">_xlfn.IFS(Table1[[#This Row],[Perf_Score]]&gt;=95,0.12,Table1[[#This Row],[Perf_Score]]&gt;=85,0.08,Table1[[#This Row],[Perf_Score]]&gt;=70,0.05,Table1[[#This Row],[Perf_Score]]&gt;=50,0.02,Table1[[#This Row],[Perf_Score]]&gt;=0,0)</f>
        <v>0.02</v>
      </c>
    </row>
    <row r="25" spans="1:13" x14ac:dyDescent="0.25">
      <c r="A25" t="s">
        <v>60</v>
      </c>
      <c r="B25" t="s">
        <v>31</v>
      </c>
      <c r="C25" t="s">
        <v>26</v>
      </c>
      <c r="D25" t="s">
        <v>21</v>
      </c>
      <c r="E25" s="7">
        <v>42565</v>
      </c>
      <c r="F25" s="5">
        <v>100851</v>
      </c>
      <c r="G25">
        <v>64</v>
      </c>
      <c r="H25" t="str">
        <f ca="1">TRIM(PROPER(Table1[[#This Row],[Employment Status]]))</f>
        <v>Active</v>
      </c>
      <c r="I25" t="str">
        <f>VLOOKUP(Table1[[#This Row],[Dept Code]],Lookup_Departments!$A$2:$B$7,2,FALSE)</f>
        <v>Finance</v>
      </c>
      <c r="J25" t="str">
        <f>CONCATENATE(Table1[[#This Row],[Last_Name]]," "," ",Table1[[#This Row],[First_Name]])</f>
        <v>Johnson  Jessica</v>
      </c>
      <c r="K25">
        <f ca="1">DATEDIF(Table1[[#This Row],[Hire Date]],TODAY(),"Y")</f>
        <v>10</v>
      </c>
      <c r="L25" t="str" cm="1">
        <f t="array" ref="L25">_xlfn.IFS(Table1[[#This Row],[Perf_Score]]&gt;=95,"Outstanding",Table1[[#This Row],[Perf_Score]]&gt;=85,"Exceeding",Table1[[#This Row],[Perf_Score]]&gt;=70,"Achieving",Table1[[#This Row],[Perf_Score]]&gt;=50,"Developing",Table1[[#This Row],[Perf_Score]]&gt;=0,"Needs Improvement")</f>
        <v>Developing</v>
      </c>
      <c r="M25" s="14" cm="1">
        <f t="array" ref="M25">_xlfn.IFS(Table1[[#This Row],[Perf_Score]]&gt;=95,0.12,Table1[[#This Row],[Perf_Score]]&gt;=85,0.08,Table1[[#This Row],[Perf_Score]]&gt;=70,0.05,Table1[[#This Row],[Perf_Score]]&gt;=50,0.02,Table1[[#This Row],[Perf_Score]]&gt;=0,0)</f>
        <v>0.02</v>
      </c>
    </row>
    <row r="26" spans="1:13" x14ac:dyDescent="0.25">
      <c r="A26" t="s">
        <v>61</v>
      </c>
      <c r="B26" t="s">
        <v>53</v>
      </c>
      <c r="C26" t="s">
        <v>42</v>
      </c>
      <c r="D26" t="s">
        <v>36</v>
      </c>
      <c r="E26" s="7">
        <v>44728</v>
      </c>
      <c r="F26" s="5">
        <v>68655</v>
      </c>
      <c r="G26">
        <v>32</v>
      </c>
      <c r="H26" t="str">
        <f ca="1">TRIM(PROPER(Table1[[#This Row],[Employment Status]]))</f>
        <v>Active</v>
      </c>
      <c r="I26" t="str">
        <f>VLOOKUP(Table1[[#This Row],[Dept Code]],Lookup_Departments!$A$2:$B$7,2,FALSE)</f>
        <v>Sales</v>
      </c>
      <c r="J26" t="str">
        <f>CONCATENATE(Table1[[#This Row],[Last_Name]]," "," ",Table1[[#This Row],[First_Name]])</f>
        <v>Williams  Ashley</v>
      </c>
      <c r="K26">
        <f ca="1">DATEDIF(Table1[[#This Row],[Hire Date]],TODAY(),"Y")</f>
        <v>4</v>
      </c>
      <c r="L26" t="str" cm="1">
        <f t="array" ref="L26">_xlfn.IFS(Table1[[#This Row],[Perf_Score]]&gt;=95,"Outstanding",Table1[[#This Row],[Perf_Score]]&gt;=85,"Exceeding",Table1[[#This Row],[Perf_Score]]&gt;=70,"Achieving",Table1[[#This Row],[Perf_Score]]&gt;=50,"Developing",Table1[[#This Row],[Perf_Score]]&gt;=0,"Needs Improvement")</f>
        <v>Needs Improvement</v>
      </c>
      <c r="M26" s="14" cm="1">
        <f t="array" ref="M26">_xlfn.IFS(Table1[[#This Row],[Perf_Score]]&gt;=95,0.12,Table1[[#This Row],[Perf_Score]]&gt;=85,0.08,Table1[[#This Row],[Perf_Score]]&gt;=70,0.05,Table1[[#This Row],[Perf_Score]]&gt;=50,0.02,Table1[[#This Row],[Perf_Score]]&gt;=0,0)</f>
        <v>0</v>
      </c>
    </row>
    <row r="27" spans="1:13" x14ac:dyDescent="0.25">
      <c r="A27" t="s">
        <v>62</v>
      </c>
      <c r="B27" t="s">
        <v>53</v>
      </c>
      <c r="C27" t="s">
        <v>42</v>
      </c>
      <c r="D27" t="s">
        <v>36</v>
      </c>
      <c r="E27" s="7">
        <v>45134</v>
      </c>
      <c r="F27" s="5">
        <v>81205</v>
      </c>
      <c r="G27">
        <v>59</v>
      </c>
      <c r="H27" t="str">
        <f ca="1">TRIM(PROPER(Table1[[#This Row],[Employment Status]]))</f>
        <v>Active</v>
      </c>
      <c r="I27" t="str">
        <f>VLOOKUP(Table1[[#This Row],[Dept Code]],Lookup_Departments!$A$2:$B$7,2,FALSE)</f>
        <v>Sales</v>
      </c>
      <c r="J27" t="str">
        <f>CONCATENATE(Table1[[#This Row],[Last_Name]]," "," ",Table1[[#This Row],[First_Name]])</f>
        <v>Williams  Ashley</v>
      </c>
      <c r="K27">
        <f ca="1">DATEDIF(Table1[[#This Row],[Hire Date]],TODAY(),"Y")</f>
        <v>2</v>
      </c>
      <c r="L27" t="str" cm="1">
        <f t="array" ref="L27">_xlfn.IFS(Table1[[#This Row],[Perf_Score]]&gt;=95,"Outstanding",Table1[[#This Row],[Perf_Score]]&gt;=85,"Exceeding",Table1[[#This Row],[Perf_Score]]&gt;=70,"Achieving",Table1[[#This Row],[Perf_Score]]&gt;=50,"Developing",Table1[[#This Row],[Perf_Score]]&gt;=0,"Needs Improvement")</f>
        <v>Developing</v>
      </c>
      <c r="M27" s="14" cm="1">
        <f t="array" ref="M27">_xlfn.IFS(Table1[[#This Row],[Perf_Score]]&gt;=95,0.12,Table1[[#This Row],[Perf_Score]]&gt;=85,0.08,Table1[[#This Row],[Perf_Score]]&gt;=70,0.05,Table1[[#This Row],[Perf_Score]]&gt;=50,0.02,Table1[[#This Row],[Perf_Score]]&gt;=0,0)</f>
        <v>0.02</v>
      </c>
    </row>
    <row r="28" spans="1:13" x14ac:dyDescent="0.25">
      <c r="A28" t="s">
        <v>63</v>
      </c>
      <c r="B28" t="s">
        <v>19</v>
      </c>
      <c r="C28" t="s">
        <v>29</v>
      </c>
      <c r="D28" t="s">
        <v>36</v>
      </c>
      <c r="E28" s="7">
        <v>43732</v>
      </c>
      <c r="F28" s="5">
        <v>77610</v>
      </c>
      <c r="G28">
        <v>88</v>
      </c>
      <c r="H28" t="str">
        <f ca="1">TRIM(PROPER(Table1[[#This Row],[Employment Status]]))</f>
        <v>Active</v>
      </c>
      <c r="I28" t="str">
        <f>VLOOKUP(Table1[[#This Row],[Dept Code]],Lookup_Departments!$A$2:$B$7,2,FALSE)</f>
        <v>Sales</v>
      </c>
      <c r="J28" t="str">
        <f>CONCATENATE(Table1[[#This Row],[Last_Name]]," "," ",Table1[[#This Row],[First_Name]])</f>
        <v>Wilson  John</v>
      </c>
      <c r="K28">
        <f ca="1">DATEDIF(Table1[[#This Row],[Hire Date]],TODAY(),"Y")</f>
        <v>6</v>
      </c>
      <c r="L28" t="str" cm="1">
        <f t="array" ref="L28">_xlfn.IFS(Table1[[#This Row],[Perf_Score]]&gt;=95,"Outstanding",Table1[[#This Row],[Perf_Score]]&gt;=85,"Exceeding",Table1[[#This Row],[Perf_Score]]&gt;=70,"Achieving",Table1[[#This Row],[Perf_Score]]&gt;=50,"Developing",Table1[[#This Row],[Perf_Score]]&gt;=0,"Needs Improvement")</f>
        <v>Exceeding</v>
      </c>
      <c r="M28" s="14" cm="1">
        <f t="array" ref="M28">_xlfn.IFS(Table1[[#This Row],[Perf_Score]]&gt;=95,0.12,Table1[[#This Row],[Perf_Score]]&gt;=85,0.08,Table1[[#This Row],[Perf_Score]]&gt;=70,0.05,Table1[[#This Row],[Perf_Score]]&gt;=50,0.02,Table1[[#This Row],[Perf_Score]]&gt;=0,0)</f>
        <v>0.08</v>
      </c>
    </row>
    <row r="29" spans="1:13" x14ac:dyDescent="0.25">
      <c r="A29" t="s">
        <v>64</v>
      </c>
      <c r="B29" t="s">
        <v>23</v>
      </c>
      <c r="C29" t="s">
        <v>33</v>
      </c>
      <c r="D29" t="s">
        <v>11</v>
      </c>
      <c r="E29" s="7">
        <v>44765</v>
      </c>
      <c r="F29" s="5">
        <v>50873</v>
      </c>
      <c r="G29">
        <v>90</v>
      </c>
      <c r="H29" t="str">
        <f ca="1">TRIM(PROPER(Table1[[#This Row],[Employment Status]]))</f>
        <v>Active</v>
      </c>
      <c r="I29" t="str">
        <f>VLOOKUP(Table1[[#This Row],[Dept Code]],Lookup_Departments!$A$2:$B$7,2,FALSE)</f>
        <v>Information Technology</v>
      </c>
      <c r="J29" t="str">
        <f>CONCATENATE(Table1[[#This Row],[Last_Name]]," "," ",Table1[[#This Row],[First_Name]])</f>
        <v>Rodriguez  Thomas</v>
      </c>
      <c r="K29">
        <f ca="1">DATEDIF(Table1[[#This Row],[Hire Date]],TODAY(),"Y")</f>
        <v>3</v>
      </c>
      <c r="L29" t="str" cm="1">
        <f t="array" ref="L29">_xlfn.IFS(Table1[[#This Row],[Perf_Score]]&gt;=95,"Outstanding",Table1[[#This Row],[Perf_Score]]&gt;=85,"Exceeding",Table1[[#This Row],[Perf_Score]]&gt;=70,"Achieving",Table1[[#This Row],[Perf_Score]]&gt;=50,"Developing",Table1[[#This Row],[Perf_Score]]&gt;=0,"Needs Improvement")</f>
        <v>Exceeding</v>
      </c>
      <c r="M29" s="14" cm="1">
        <f t="array" ref="M29">_xlfn.IFS(Table1[[#This Row],[Perf_Score]]&gt;=95,0.12,Table1[[#This Row],[Perf_Score]]&gt;=85,0.08,Table1[[#This Row],[Perf_Score]]&gt;=70,0.05,Table1[[#This Row],[Perf_Score]]&gt;=50,0.02,Table1[[#This Row],[Perf_Score]]&gt;=0,0)</f>
        <v>0.08</v>
      </c>
    </row>
    <row r="30" spans="1:13" x14ac:dyDescent="0.25">
      <c r="A30" t="s">
        <v>65</v>
      </c>
      <c r="B30" t="s">
        <v>35</v>
      </c>
      <c r="C30" t="s">
        <v>29</v>
      </c>
      <c r="D30" t="s">
        <v>21</v>
      </c>
      <c r="E30" s="7">
        <v>43233</v>
      </c>
      <c r="F30" s="5">
        <v>85312</v>
      </c>
      <c r="G30">
        <v>66</v>
      </c>
      <c r="H30" t="str">
        <f ca="1">TRIM(PROPER(Table1[[#This Row],[Employment Status]]))</f>
        <v>Active</v>
      </c>
      <c r="I30" t="str">
        <f>VLOOKUP(Table1[[#This Row],[Dept Code]],Lookup_Departments!$A$2:$B$7,2,FALSE)</f>
        <v>Finance</v>
      </c>
      <c r="J30" t="str">
        <f>CONCATENATE(Table1[[#This Row],[Last_Name]]," "," ",Table1[[#This Row],[First_Name]])</f>
        <v>Wilson  Michael</v>
      </c>
      <c r="K30">
        <f ca="1">DATEDIF(Table1[[#This Row],[Hire Date]],TODAY(),"Y")</f>
        <v>8</v>
      </c>
      <c r="L30" t="str" cm="1">
        <f t="array" ref="L30">_xlfn.IFS(Table1[[#This Row],[Perf_Score]]&gt;=95,"Outstanding",Table1[[#This Row],[Perf_Score]]&gt;=85,"Exceeding",Table1[[#This Row],[Perf_Score]]&gt;=70,"Achieving",Table1[[#This Row],[Perf_Score]]&gt;=50,"Developing",Table1[[#This Row],[Perf_Score]]&gt;=0,"Needs Improvement")</f>
        <v>Developing</v>
      </c>
      <c r="M30" s="14" cm="1">
        <f t="array" ref="M30">_xlfn.IFS(Table1[[#This Row],[Perf_Score]]&gt;=95,0.12,Table1[[#This Row],[Perf_Score]]&gt;=85,0.08,Table1[[#This Row],[Perf_Score]]&gt;=70,0.05,Table1[[#This Row],[Perf_Score]]&gt;=50,0.02,Table1[[#This Row],[Perf_Score]]&gt;=0,0)</f>
        <v>0.02</v>
      </c>
    </row>
    <row r="31" spans="1:13" x14ac:dyDescent="0.25">
      <c r="A31" t="s">
        <v>66</v>
      </c>
      <c r="B31" t="s">
        <v>19</v>
      </c>
      <c r="C31" t="s">
        <v>33</v>
      </c>
      <c r="D31" t="s">
        <v>36</v>
      </c>
      <c r="E31" s="7">
        <v>42202</v>
      </c>
      <c r="F31" s="5">
        <v>83126</v>
      </c>
      <c r="G31">
        <v>68</v>
      </c>
      <c r="H31" t="str">
        <f ca="1">TRIM(PROPER(Table1[[#This Row],[Employment Status]]))</f>
        <v>Active</v>
      </c>
      <c r="I31" t="str">
        <f>VLOOKUP(Table1[[#This Row],[Dept Code]],Lookup_Departments!$A$2:$B$7,2,FALSE)</f>
        <v>Sales</v>
      </c>
      <c r="J31" t="str">
        <f>CONCATENATE(Table1[[#This Row],[Last_Name]]," "," ",Table1[[#This Row],[First_Name]])</f>
        <v>Rodriguez  John</v>
      </c>
      <c r="K31">
        <f ca="1">DATEDIF(Table1[[#This Row],[Hire Date]],TODAY(),"Y")</f>
        <v>11</v>
      </c>
      <c r="L31" t="str" cm="1">
        <f t="array" ref="L31">_xlfn.IFS(Table1[[#This Row],[Perf_Score]]&gt;=95,"Outstanding",Table1[[#This Row],[Perf_Score]]&gt;=85,"Exceeding",Table1[[#This Row],[Perf_Score]]&gt;=70,"Achieving",Table1[[#This Row],[Perf_Score]]&gt;=50,"Developing",Table1[[#This Row],[Perf_Score]]&gt;=0,"Needs Improvement")</f>
        <v>Developing</v>
      </c>
      <c r="M31" s="14" cm="1">
        <f t="array" ref="M31">_xlfn.IFS(Table1[[#This Row],[Perf_Score]]&gt;=95,0.12,Table1[[#This Row],[Perf_Score]]&gt;=85,0.08,Table1[[#This Row],[Perf_Score]]&gt;=70,0.05,Table1[[#This Row],[Perf_Score]]&gt;=50,0.02,Table1[[#This Row],[Perf_Score]]&gt;=0,0)</f>
        <v>0.02</v>
      </c>
    </row>
    <row r="32" spans="1:13" x14ac:dyDescent="0.25">
      <c r="A32" t="s">
        <v>67</v>
      </c>
      <c r="B32" t="s">
        <v>23</v>
      </c>
      <c r="C32" t="s">
        <v>14</v>
      </c>
      <c r="D32" t="s">
        <v>27</v>
      </c>
      <c r="E32" s="7">
        <v>42221</v>
      </c>
      <c r="F32" s="5">
        <v>97055</v>
      </c>
      <c r="G32">
        <v>80</v>
      </c>
      <c r="H32" t="str">
        <f ca="1">TRIM(PROPER(Table1[[#This Row],[Employment Status]]))</f>
        <v>Active</v>
      </c>
      <c r="I32" t="str">
        <f>VLOOKUP(Table1[[#This Row],[Dept Code]],Lookup_Departments!$A$2:$B$7,2,FALSE)</f>
        <v>Operations</v>
      </c>
      <c r="J32" t="str">
        <f>CONCATENATE(Table1[[#This Row],[Last_Name]]," "," ",Table1[[#This Row],[First_Name]])</f>
        <v>Hernandez  Thomas</v>
      </c>
      <c r="K32">
        <f ca="1">DATEDIF(Table1[[#This Row],[Hire Date]],TODAY(),"Y")</f>
        <v>10</v>
      </c>
      <c r="L32" t="str" cm="1">
        <f t="array" ref="L32">_xlfn.IFS(Table1[[#This Row],[Perf_Score]]&gt;=95,"Outstanding",Table1[[#This Row],[Perf_Score]]&gt;=85,"Exceeding",Table1[[#This Row],[Perf_Score]]&gt;=70,"Achieving",Table1[[#This Row],[Perf_Score]]&gt;=50,"Developing",Table1[[#This Row],[Perf_Score]]&gt;=0,"Needs Improvement")</f>
        <v>Achieving</v>
      </c>
      <c r="M32" s="14" cm="1">
        <f t="array" ref="M32">_xlfn.IFS(Table1[[#This Row],[Perf_Score]]&gt;=95,0.12,Table1[[#This Row],[Perf_Score]]&gt;=85,0.08,Table1[[#This Row],[Perf_Score]]&gt;=70,0.05,Table1[[#This Row],[Perf_Score]]&gt;=50,0.02,Table1[[#This Row],[Perf_Score]]&gt;=0,0)</f>
        <v>0.05</v>
      </c>
    </row>
    <row r="33" spans="1:13" x14ac:dyDescent="0.25">
      <c r="A33" t="s">
        <v>68</v>
      </c>
      <c r="B33" t="s">
        <v>35</v>
      </c>
      <c r="C33" t="s">
        <v>26</v>
      </c>
      <c r="D33" t="s">
        <v>11</v>
      </c>
      <c r="E33" s="7">
        <v>45195</v>
      </c>
      <c r="F33" s="5">
        <v>66069</v>
      </c>
      <c r="G33">
        <v>72</v>
      </c>
      <c r="H33" t="str">
        <f ca="1">TRIM(PROPER(Table1[[#This Row],[Employment Status]]))</f>
        <v>Active</v>
      </c>
      <c r="I33" t="str">
        <f>VLOOKUP(Table1[[#This Row],[Dept Code]],Lookup_Departments!$A$2:$B$7,2,FALSE)</f>
        <v>Information Technology</v>
      </c>
      <c r="J33" t="str">
        <f>CONCATENATE(Table1[[#This Row],[Last_Name]]," "," ",Table1[[#This Row],[First_Name]])</f>
        <v>Johnson  Michael</v>
      </c>
      <c r="K33">
        <f ca="1">DATEDIF(Table1[[#This Row],[Hire Date]],TODAY(),"Y")</f>
        <v>2</v>
      </c>
      <c r="L33" t="str" cm="1">
        <f t="array" ref="L33">_xlfn.IFS(Table1[[#This Row],[Perf_Score]]&gt;=95,"Outstanding",Table1[[#This Row],[Perf_Score]]&gt;=85,"Exceeding",Table1[[#This Row],[Perf_Score]]&gt;=70,"Achieving",Table1[[#This Row],[Perf_Score]]&gt;=50,"Developing",Table1[[#This Row],[Perf_Score]]&gt;=0,"Needs Improvement")</f>
        <v>Achieving</v>
      </c>
      <c r="M33" s="14" cm="1">
        <f t="array" ref="M33">_xlfn.IFS(Table1[[#This Row],[Perf_Score]]&gt;=95,0.12,Table1[[#This Row],[Perf_Score]]&gt;=85,0.08,Table1[[#This Row],[Perf_Score]]&gt;=70,0.05,Table1[[#This Row],[Perf_Score]]&gt;=50,0.02,Table1[[#This Row],[Perf_Score]]&gt;=0,0)</f>
        <v>0.05</v>
      </c>
    </row>
    <row r="34" spans="1:13" x14ac:dyDescent="0.25">
      <c r="A34" t="s">
        <v>69</v>
      </c>
      <c r="B34" t="s">
        <v>70</v>
      </c>
      <c r="C34" t="s">
        <v>10</v>
      </c>
      <c r="D34" t="s">
        <v>11</v>
      </c>
      <c r="E34" s="7">
        <v>43626</v>
      </c>
      <c r="F34" s="5">
        <v>90157</v>
      </c>
      <c r="G34">
        <v>58</v>
      </c>
      <c r="H34" t="str">
        <f ca="1">TRIM(PROPER(Table1[[#This Row],[Employment Status]]))</f>
        <v>Active</v>
      </c>
      <c r="I34" t="str">
        <f>VLOOKUP(Table1[[#This Row],[Dept Code]],Lookup_Departments!$A$2:$B$7,2,FALSE)</f>
        <v>Information Technology</v>
      </c>
      <c r="J34" t="str">
        <f>CONCATENATE(Table1[[#This Row],[Last_Name]]," "," ",Table1[[#This Row],[First_Name]])</f>
        <v>Brown  Sarah</v>
      </c>
      <c r="K34">
        <f ca="1">DATEDIF(Table1[[#This Row],[Hire Date]],TODAY(),"Y")</f>
        <v>7</v>
      </c>
      <c r="L34" t="str" cm="1">
        <f t="array" ref="L34">_xlfn.IFS(Table1[[#This Row],[Perf_Score]]&gt;=95,"Outstanding",Table1[[#This Row],[Perf_Score]]&gt;=85,"Exceeding",Table1[[#This Row],[Perf_Score]]&gt;=70,"Achieving",Table1[[#This Row],[Perf_Score]]&gt;=50,"Developing",Table1[[#This Row],[Perf_Score]]&gt;=0,"Needs Improvement")</f>
        <v>Developing</v>
      </c>
      <c r="M34" s="14" cm="1">
        <f t="array" ref="M34">_xlfn.IFS(Table1[[#This Row],[Perf_Score]]&gt;=95,0.12,Table1[[#This Row],[Perf_Score]]&gt;=85,0.08,Table1[[#This Row],[Perf_Score]]&gt;=70,0.05,Table1[[#This Row],[Perf_Score]]&gt;=50,0.02,Table1[[#This Row],[Perf_Score]]&gt;=0,0)</f>
        <v>0.02</v>
      </c>
    </row>
    <row r="35" spans="1:13" x14ac:dyDescent="0.25">
      <c r="A35" t="s">
        <v>71</v>
      </c>
      <c r="B35" t="s">
        <v>41</v>
      </c>
      <c r="C35" t="s">
        <v>20</v>
      </c>
      <c r="D35" t="s">
        <v>72</v>
      </c>
      <c r="E35" s="7">
        <v>44578</v>
      </c>
      <c r="F35" s="5">
        <v>59899</v>
      </c>
      <c r="G35">
        <v>78</v>
      </c>
      <c r="H35" t="str">
        <f ca="1">TRIM(PROPER(Table1[[#This Row],[Employment Status]]))</f>
        <v>Active</v>
      </c>
      <c r="I35" t="str">
        <f>VLOOKUP(Table1[[#This Row],[Dept Code]],Lookup_Departments!$A$2:$B$7,2,FALSE)</f>
        <v>Human Resources</v>
      </c>
      <c r="J35" t="str">
        <f>CONCATENATE(Table1[[#This Row],[Last_Name]]," "," ",Table1[[#This Row],[First_Name]])</f>
        <v>Martinez  Jane</v>
      </c>
      <c r="K35">
        <f ca="1">DATEDIF(Table1[[#This Row],[Hire Date]],TODAY(),"Y")</f>
        <v>4</v>
      </c>
      <c r="L35" t="str" cm="1">
        <f t="array" ref="L35">_xlfn.IFS(Table1[[#This Row],[Perf_Score]]&gt;=95,"Outstanding",Table1[[#This Row],[Perf_Score]]&gt;=85,"Exceeding",Table1[[#This Row],[Perf_Score]]&gt;=70,"Achieving",Table1[[#This Row],[Perf_Score]]&gt;=50,"Developing",Table1[[#This Row],[Perf_Score]]&gt;=0,"Needs Improvement")</f>
        <v>Achieving</v>
      </c>
      <c r="M35" s="14" cm="1">
        <f t="array" ref="M35">_xlfn.IFS(Table1[[#This Row],[Perf_Score]]&gt;=95,0.12,Table1[[#This Row],[Perf_Score]]&gt;=85,0.08,Table1[[#This Row],[Perf_Score]]&gt;=70,0.05,Table1[[#This Row],[Perf_Score]]&gt;=50,0.02,Table1[[#This Row],[Perf_Score]]&gt;=0,0)</f>
        <v>0.05</v>
      </c>
    </row>
    <row r="36" spans="1:13" x14ac:dyDescent="0.25">
      <c r="A36" t="s">
        <v>73</v>
      </c>
      <c r="B36" t="s">
        <v>9</v>
      </c>
      <c r="C36" t="s">
        <v>46</v>
      </c>
      <c r="D36" t="s">
        <v>21</v>
      </c>
      <c r="E36" s="7">
        <v>42919</v>
      </c>
      <c r="F36" s="5">
        <v>113389</v>
      </c>
      <c r="G36">
        <v>30</v>
      </c>
      <c r="H36" t="str">
        <f ca="1">TRIM(PROPER(Table1[[#This Row],[Employment Status]]))</f>
        <v>Active</v>
      </c>
      <c r="I36" t="str">
        <f>VLOOKUP(Table1[[#This Row],[Dept Code]],Lookup_Departments!$A$2:$B$7,2,FALSE)</f>
        <v>Finance</v>
      </c>
      <c r="J36" t="str">
        <f>CONCATENATE(Table1[[#This Row],[Last_Name]]," "," ",Table1[[#This Row],[First_Name]])</f>
        <v>Jones  Emily</v>
      </c>
      <c r="K36">
        <f ca="1">DATEDIF(Table1[[#This Row],[Hire Date]],TODAY(),"Y")</f>
        <v>9</v>
      </c>
      <c r="L36" t="str" cm="1">
        <f t="array" ref="L36">_xlfn.IFS(Table1[[#This Row],[Perf_Score]]&gt;=95,"Outstanding",Table1[[#This Row],[Perf_Score]]&gt;=85,"Exceeding",Table1[[#This Row],[Perf_Score]]&gt;=70,"Achieving",Table1[[#This Row],[Perf_Score]]&gt;=50,"Developing",Table1[[#This Row],[Perf_Score]]&gt;=0,"Needs Improvement")</f>
        <v>Needs Improvement</v>
      </c>
      <c r="M36" s="14" cm="1">
        <f t="array" ref="M36">_xlfn.IFS(Table1[[#This Row],[Perf_Score]]&gt;=95,0.12,Table1[[#This Row],[Perf_Score]]&gt;=85,0.08,Table1[[#This Row],[Perf_Score]]&gt;=70,0.05,Table1[[#This Row],[Perf_Score]]&gt;=50,0.02,Table1[[#This Row],[Perf_Score]]&gt;=0,0)</f>
        <v>0</v>
      </c>
    </row>
    <row r="37" spans="1:13" x14ac:dyDescent="0.25">
      <c r="A37" t="s">
        <v>74</v>
      </c>
      <c r="B37" t="s">
        <v>9</v>
      </c>
      <c r="C37" t="s">
        <v>10</v>
      </c>
      <c r="D37" t="s">
        <v>11</v>
      </c>
      <c r="E37" s="7">
        <v>42248</v>
      </c>
      <c r="F37" s="5">
        <v>102691</v>
      </c>
      <c r="G37">
        <v>52</v>
      </c>
      <c r="H37" t="str">
        <f ca="1">TRIM(PROPER(Table1[[#This Row],[Employment Status]]))</f>
        <v>Active</v>
      </c>
      <c r="I37" t="str">
        <f>VLOOKUP(Table1[[#This Row],[Dept Code]],Lookup_Departments!$A$2:$B$7,2,FALSE)</f>
        <v>Information Technology</v>
      </c>
      <c r="J37" t="str">
        <f>CONCATENATE(Table1[[#This Row],[Last_Name]]," "," ",Table1[[#This Row],[First_Name]])</f>
        <v>Brown  Emily</v>
      </c>
      <c r="K37">
        <f ca="1">DATEDIF(Table1[[#This Row],[Hire Date]],TODAY(),"Y")</f>
        <v>10</v>
      </c>
      <c r="L37" t="str" cm="1">
        <f t="array" ref="L37">_xlfn.IFS(Table1[[#This Row],[Perf_Score]]&gt;=95,"Outstanding",Table1[[#This Row],[Perf_Score]]&gt;=85,"Exceeding",Table1[[#This Row],[Perf_Score]]&gt;=70,"Achieving",Table1[[#This Row],[Perf_Score]]&gt;=50,"Developing",Table1[[#This Row],[Perf_Score]]&gt;=0,"Needs Improvement")</f>
        <v>Developing</v>
      </c>
      <c r="M37" s="14" cm="1">
        <f t="array" ref="M37">_xlfn.IFS(Table1[[#This Row],[Perf_Score]]&gt;=95,0.12,Table1[[#This Row],[Perf_Score]]&gt;=85,0.08,Table1[[#This Row],[Perf_Score]]&gt;=70,0.05,Table1[[#This Row],[Perf_Score]]&gt;=50,0.02,Table1[[#This Row],[Perf_Score]]&gt;=0,0)</f>
        <v>0.02</v>
      </c>
    </row>
    <row r="38" spans="1:13" x14ac:dyDescent="0.25">
      <c r="A38" t="s">
        <v>75</v>
      </c>
      <c r="B38" t="s">
        <v>19</v>
      </c>
      <c r="C38" t="s">
        <v>29</v>
      </c>
      <c r="D38" t="s">
        <v>27</v>
      </c>
      <c r="E38" s="7">
        <v>44776</v>
      </c>
      <c r="F38" s="5">
        <v>111845</v>
      </c>
      <c r="G38">
        <v>98</v>
      </c>
      <c r="H38" t="str">
        <f ca="1">TRIM(PROPER(Table1[[#This Row],[Employment Status]]))</f>
        <v>Active</v>
      </c>
      <c r="I38" t="str">
        <f>VLOOKUP(Table1[[#This Row],[Dept Code]],Lookup_Departments!$A$2:$B$7,2,FALSE)</f>
        <v>Operations</v>
      </c>
      <c r="J38" t="str">
        <f>CONCATENATE(Table1[[#This Row],[Last_Name]]," "," ",Table1[[#This Row],[First_Name]])</f>
        <v>Wilson  John</v>
      </c>
      <c r="K38">
        <f ca="1">DATEDIF(Table1[[#This Row],[Hire Date]],TODAY(),"Y")</f>
        <v>3</v>
      </c>
      <c r="L38" t="str" cm="1">
        <f t="array" ref="L38">_xlfn.IFS(Table1[[#This Row],[Perf_Score]]&gt;=95,"Outstanding",Table1[[#This Row],[Perf_Score]]&gt;=85,"Exceeding",Table1[[#This Row],[Perf_Score]]&gt;=70,"Achieving",Table1[[#This Row],[Perf_Score]]&gt;=50,"Developing",Table1[[#This Row],[Perf_Score]]&gt;=0,"Needs Improvement")</f>
        <v>Outstanding</v>
      </c>
      <c r="M38" s="14" cm="1">
        <f t="array" ref="M38">_xlfn.IFS(Table1[[#This Row],[Perf_Score]]&gt;=95,0.12,Table1[[#This Row],[Perf_Score]]&gt;=85,0.08,Table1[[#This Row],[Perf_Score]]&gt;=70,0.05,Table1[[#This Row],[Perf_Score]]&gt;=50,0.02,Table1[[#This Row],[Perf_Score]]&gt;=0,0)</f>
        <v>0.12</v>
      </c>
    </row>
    <row r="39" spans="1:13" x14ac:dyDescent="0.25">
      <c r="A39" t="s">
        <v>76</v>
      </c>
      <c r="B39" t="s">
        <v>77</v>
      </c>
      <c r="C39" t="s">
        <v>10</v>
      </c>
      <c r="D39" t="s">
        <v>36</v>
      </c>
      <c r="E39" s="7">
        <v>44741</v>
      </c>
      <c r="F39" s="5">
        <v>69219</v>
      </c>
      <c r="G39">
        <v>93</v>
      </c>
      <c r="H39" t="str">
        <f ca="1">TRIM(PROPER(Table1[[#This Row],[Employment Status]]))</f>
        <v>Active</v>
      </c>
      <c r="I39" t="str">
        <f>VLOOKUP(Table1[[#This Row],[Dept Code]],Lookup_Departments!$A$2:$B$7,2,FALSE)</f>
        <v>Sales</v>
      </c>
      <c r="J39" t="str">
        <f>CONCATENATE(Table1[[#This Row],[Last_Name]]," "," ",Table1[[#This Row],[First_Name]])</f>
        <v>Brown  Melissa</v>
      </c>
      <c r="K39">
        <f ca="1">DATEDIF(Table1[[#This Row],[Hire Date]],TODAY(),"Y")</f>
        <v>4</v>
      </c>
      <c r="L39" t="str" cm="1">
        <f t="array" ref="L39">_xlfn.IFS(Table1[[#This Row],[Perf_Score]]&gt;=95,"Outstanding",Table1[[#This Row],[Perf_Score]]&gt;=85,"Exceeding",Table1[[#This Row],[Perf_Score]]&gt;=70,"Achieving",Table1[[#This Row],[Perf_Score]]&gt;=50,"Developing",Table1[[#This Row],[Perf_Score]]&gt;=0,"Needs Improvement")</f>
        <v>Exceeding</v>
      </c>
      <c r="M39" s="14" cm="1">
        <f t="array" ref="M39">_xlfn.IFS(Table1[[#This Row],[Perf_Score]]&gt;=95,0.12,Table1[[#This Row],[Perf_Score]]&gt;=85,0.08,Table1[[#This Row],[Perf_Score]]&gt;=70,0.05,Table1[[#This Row],[Perf_Score]]&gt;=50,0.02,Table1[[#This Row],[Perf_Score]]&gt;=0,0)</f>
        <v>0.08</v>
      </c>
    </row>
    <row r="40" spans="1:13" x14ac:dyDescent="0.25">
      <c r="A40" t="s">
        <v>78</v>
      </c>
      <c r="B40" t="s">
        <v>35</v>
      </c>
      <c r="C40" t="s">
        <v>24</v>
      </c>
      <c r="D40" t="s">
        <v>21</v>
      </c>
      <c r="E40" s="7">
        <v>43949</v>
      </c>
      <c r="F40" s="5">
        <v>83454</v>
      </c>
      <c r="G40">
        <v>80</v>
      </c>
      <c r="H40" t="str">
        <f ca="1">TRIM(PROPER(Table1[[#This Row],[Employment Status]]))</f>
        <v>Left</v>
      </c>
      <c r="I40" t="str">
        <f>VLOOKUP(Table1[[#This Row],[Dept Code]],Lookup_Departments!$A$2:$B$7,2,FALSE)</f>
        <v>Finance</v>
      </c>
      <c r="J40" t="str">
        <f>CONCATENATE(Table1[[#This Row],[Last_Name]]," "," ",Table1[[#This Row],[First_Name]])</f>
        <v>Smith  Michael</v>
      </c>
      <c r="K40">
        <f ca="1">DATEDIF(Table1[[#This Row],[Hire Date]],TODAY(),"Y")</f>
        <v>6</v>
      </c>
      <c r="L40" t="str" cm="1">
        <f t="array" ref="L40">_xlfn.IFS(Table1[[#This Row],[Perf_Score]]&gt;=95,"Outstanding",Table1[[#This Row],[Perf_Score]]&gt;=85,"Exceeding",Table1[[#This Row],[Perf_Score]]&gt;=70,"Achieving",Table1[[#This Row],[Perf_Score]]&gt;=50,"Developing",Table1[[#This Row],[Perf_Score]]&gt;=0,"Needs Improvement")</f>
        <v>Achieving</v>
      </c>
      <c r="M40" s="14" cm="1">
        <f t="array" ref="M40">_xlfn.IFS(Table1[[#This Row],[Perf_Score]]&gt;=95,0.12,Table1[[#This Row],[Perf_Score]]&gt;=85,0.08,Table1[[#This Row],[Perf_Score]]&gt;=70,0.05,Table1[[#This Row],[Perf_Score]]&gt;=50,0.02,Table1[[#This Row],[Perf_Score]]&gt;=0,0)</f>
        <v>0.05</v>
      </c>
    </row>
    <row r="41" spans="1:13" x14ac:dyDescent="0.25">
      <c r="A41" t="s">
        <v>79</v>
      </c>
      <c r="B41" t="s">
        <v>70</v>
      </c>
      <c r="C41" t="s">
        <v>38</v>
      </c>
      <c r="D41" t="s">
        <v>27</v>
      </c>
      <c r="E41" s="7">
        <v>42987</v>
      </c>
      <c r="F41" s="5">
        <v>57514</v>
      </c>
      <c r="G41">
        <v>68</v>
      </c>
      <c r="H41" t="str">
        <f ca="1">TRIM(PROPER(Table1[[#This Row],[Employment Status]]))</f>
        <v>Active</v>
      </c>
      <c r="I41" t="str">
        <f>VLOOKUP(Table1[[#This Row],[Dept Code]],Lookup_Departments!$A$2:$B$7,2,FALSE)</f>
        <v>Operations</v>
      </c>
      <c r="J41" t="str">
        <f>CONCATENATE(Table1[[#This Row],[Last_Name]]," "," ",Table1[[#This Row],[First_Name]])</f>
        <v>Miller  Sarah</v>
      </c>
      <c r="K41">
        <f ca="1">DATEDIF(Table1[[#This Row],[Hire Date]],TODAY(),"Y")</f>
        <v>8</v>
      </c>
      <c r="L41" t="str" cm="1">
        <f t="array" ref="L41">_xlfn.IFS(Table1[[#This Row],[Perf_Score]]&gt;=95,"Outstanding",Table1[[#This Row],[Perf_Score]]&gt;=85,"Exceeding",Table1[[#This Row],[Perf_Score]]&gt;=70,"Achieving",Table1[[#This Row],[Perf_Score]]&gt;=50,"Developing",Table1[[#This Row],[Perf_Score]]&gt;=0,"Needs Improvement")</f>
        <v>Developing</v>
      </c>
      <c r="M41" s="14" cm="1">
        <f t="array" ref="M41">_xlfn.IFS(Table1[[#This Row],[Perf_Score]]&gt;=95,0.12,Table1[[#This Row],[Perf_Score]]&gt;=85,0.08,Table1[[#This Row],[Perf_Score]]&gt;=70,0.05,Table1[[#This Row],[Perf_Score]]&gt;=50,0.02,Table1[[#This Row],[Perf_Score]]&gt;=0,0)</f>
        <v>0.02</v>
      </c>
    </row>
    <row r="42" spans="1:13" x14ac:dyDescent="0.25">
      <c r="A42" t="s">
        <v>80</v>
      </c>
      <c r="B42" t="s">
        <v>9</v>
      </c>
      <c r="C42" t="s">
        <v>29</v>
      </c>
      <c r="D42" t="s">
        <v>36</v>
      </c>
      <c r="E42" s="7">
        <v>43181</v>
      </c>
      <c r="F42" s="5">
        <v>86245</v>
      </c>
      <c r="G42">
        <v>71</v>
      </c>
      <c r="H42" t="str">
        <f ca="1">TRIM(PROPER(Table1[[#This Row],[Employment Status]]))</f>
        <v>Left</v>
      </c>
      <c r="I42" t="str">
        <f>VLOOKUP(Table1[[#This Row],[Dept Code]],Lookup_Departments!$A$2:$B$7,2,FALSE)</f>
        <v>Sales</v>
      </c>
      <c r="J42" t="str">
        <f>CONCATENATE(Table1[[#This Row],[Last_Name]]," "," ",Table1[[#This Row],[First_Name]])</f>
        <v>Wilson  Emily</v>
      </c>
      <c r="K42">
        <f ca="1">DATEDIF(Table1[[#This Row],[Hire Date]],TODAY(),"Y")</f>
        <v>8</v>
      </c>
      <c r="L42" t="str" cm="1">
        <f t="array" ref="L42">_xlfn.IFS(Table1[[#This Row],[Perf_Score]]&gt;=95,"Outstanding",Table1[[#This Row],[Perf_Score]]&gt;=85,"Exceeding",Table1[[#This Row],[Perf_Score]]&gt;=70,"Achieving",Table1[[#This Row],[Perf_Score]]&gt;=50,"Developing",Table1[[#This Row],[Perf_Score]]&gt;=0,"Needs Improvement")</f>
        <v>Achieving</v>
      </c>
      <c r="M42" s="14" cm="1">
        <f t="array" ref="M42">_xlfn.IFS(Table1[[#This Row],[Perf_Score]]&gt;=95,0.12,Table1[[#This Row],[Perf_Score]]&gt;=85,0.08,Table1[[#This Row],[Perf_Score]]&gt;=70,0.05,Table1[[#This Row],[Perf_Score]]&gt;=50,0.02,Table1[[#This Row],[Perf_Score]]&gt;=0,0)</f>
        <v>0.05</v>
      </c>
    </row>
    <row r="43" spans="1:13" x14ac:dyDescent="0.25">
      <c r="A43" t="s">
        <v>81</v>
      </c>
      <c r="B43" t="s">
        <v>82</v>
      </c>
      <c r="C43" t="s">
        <v>14</v>
      </c>
      <c r="D43" t="s">
        <v>36</v>
      </c>
      <c r="E43" s="7">
        <v>43958</v>
      </c>
      <c r="F43" s="5">
        <v>52407</v>
      </c>
      <c r="G43">
        <v>55</v>
      </c>
      <c r="H43" t="str">
        <f ca="1">TRIM(PROPER(Table1[[#This Row],[Employment Status]]))</f>
        <v>Active</v>
      </c>
      <c r="I43" t="str">
        <f>VLOOKUP(Table1[[#This Row],[Dept Code]],Lookup_Departments!$A$2:$B$7,2,FALSE)</f>
        <v>Sales</v>
      </c>
      <c r="J43" t="str">
        <f>CONCATENATE(Table1[[#This Row],[Last_Name]]," "," ",Table1[[#This Row],[First_Name]])</f>
        <v>Hernandez  David</v>
      </c>
      <c r="K43">
        <f ca="1">DATEDIF(Table1[[#This Row],[Hire Date]],TODAY(),"Y")</f>
        <v>6</v>
      </c>
      <c r="L43" t="str" cm="1">
        <f t="array" ref="L43">_xlfn.IFS(Table1[[#This Row],[Perf_Score]]&gt;=95,"Outstanding",Table1[[#This Row],[Perf_Score]]&gt;=85,"Exceeding",Table1[[#This Row],[Perf_Score]]&gt;=70,"Achieving",Table1[[#This Row],[Perf_Score]]&gt;=50,"Developing",Table1[[#This Row],[Perf_Score]]&gt;=0,"Needs Improvement")</f>
        <v>Developing</v>
      </c>
      <c r="M43" s="14" cm="1">
        <f t="array" ref="M43">_xlfn.IFS(Table1[[#This Row],[Perf_Score]]&gt;=95,0.12,Table1[[#This Row],[Perf_Score]]&gt;=85,0.08,Table1[[#This Row],[Perf_Score]]&gt;=70,0.05,Table1[[#This Row],[Perf_Score]]&gt;=50,0.02,Table1[[#This Row],[Perf_Score]]&gt;=0,0)</f>
        <v>0.02</v>
      </c>
    </row>
    <row r="44" spans="1:13" x14ac:dyDescent="0.25">
      <c r="A44" t="s">
        <v>83</v>
      </c>
      <c r="B44" t="s">
        <v>51</v>
      </c>
      <c r="C44" t="s">
        <v>24</v>
      </c>
      <c r="D44" t="s">
        <v>27</v>
      </c>
      <c r="E44" s="7">
        <v>43549</v>
      </c>
      <c r="F44" s="5">
        <v>66606</v>
      </c>
      <c r="G44">
        <v>93</v>
      </c>
      <c r="H44" t="str">
        <f ca="1">TRIM(PROPER(Table1[[#This Row],[Employment Status]]))</f>
        <v>Resigned</v>
      </c>
      <c r="I44" t="str">
        <f>VLOOKUP(Table1[[#This Row],[Dept Code]],Lookup_Departments!$A$2:$B$7,2,FALSE)</f>
        <v>Operations</v>
      </c>
      <c r="J44" t="str">
        <f>CONCATENATE(Table1[[#This Row],[Last_Name]]," "," ",Table1[[#This Row],[First_Name]])</f>
        <v>Smith  James</v>
      </c>
      <c r="K44">
        <f ca="1">DATEDIF(Table1[[#This Row],[Hire Date]],TODAY(),"Y")</f>
        <v>7</v>
      </c>
      <c r="L44" t="str" cm="1">
        <f t="array" ref="L44">_xlfn.IFS(Table1[[#This Row],[Perf_Score]]&gt;=95,"Outstanding",Table1[[#This Row],[Perf_Score]]&gt;=85,"Exceeding",Table1[[#This Row],[Perf_Score]]&gt;=70,"Achieving",Table1[[#This Row],[Perf_Score]]&gt;=50,"Developing",Table1[[#This Row],[Perf_Score]]&gt;=0,"Needs Improvement")</f>
        <v>Exceeding</v>
      </c>
      <c r="M44" s="14" cm="1">
        <f t="array" ref="M44">_xlfn.IFS(Table1[[#This Row],[Perf_Score]]&gt;=95,0.12,Table1[[#This Row],[Perf_Score]]&gt;=85,0.08,Table1[[#This Row],[Perf_Score]]&gt;=70,0.05,Table1[[#This Row],[Perf_Score]]&gt;=50,0.02,Table1[[#This Row],[Perf_Score]]&gt;=0,0)</f>
        <v>0.08</v>
      </c>
    </row>
    <row r="45" spans="1:13" x14ac:dyDescent="0.25">
      <c r="A45" t="s">
        <v>84</v>
      </c>
      <c r="B45" t="s">
        <v>70</v>
      </c>
      <c r="C45" t="s">
        <v>42</v>
      </c>
      <c r="D45" t="s">
        <v>11</v>
      </c>
      <c r="E45" s="7">
        <v>43686</v>
      </c>
      <c r="F45" s="5">
        <v>81896</v>
      </c>
      <c r="G45">
        <v>79</v>
      </c>
      <c r="H45" t="str">
        <f ca="1">TRIM(PROPER(Table1[[#This Row],[Employment Status]]))</f>
        <v>Resigned</v>
      </c>
      <c r="I45" t="str">
        <f>VLOOKUP(Table1[[#This Row],[Dept Code]],Lookup_Departments!$A$2:$B$7,2,FALSE)</f>
        <v>Information Technology</v>
      </c>
      <c r="J45" t="str">
        <f>CONCATENATE(Table1[[#This Row],[Last_Name]]," "," ",Table1[[#This Row],[First_Name]])</f>
        <v>Williams  Sarah</v>
      </c>
      <c r="K45">
        <f ca="1">DATEDIF(Table1[[#This Row],[Hire Date]],TODAY(),"Y")</f>
        <v>6</v>
      </c>
      <c r="L45" t="str" cm="1">
        <f t="array" ref="L45">_xlfn.IFS(Table1[[#This Row],[Perf_Score]]&gt;=95,"Outstanding",Table1[[#This Row],[Perf_Score]]&gt;=85,"Exceeding",Table1[[#This Row],[Perf_Score]]&gt;=70,"Achieving",Table1[[#This Row],[Perf_Score]]&gt;=50,"Developing",Table1[[#This Row],[Perf_Score]]&gt;=0,"Needs Improvement")</f>
        <v>Achieving</v>
      </c>
      <c r="M45" s="14" cm="1">
        <f t="array" ref="M45">_xlfn.IFS(Table1[[#This Row],[Perf_Score]]&gt;=95,0.12,Table1[[#This Row],[Perf_Score]]&gt;=85,0.08,Table1[[#This Row],[Perf_Score]]&gt;=70,0.05,Table1[[#This Row],[Perf_Score]]&gt;=50,0.02,Table1[[#This Row],[Perf_Score]]&gt;=0,0)</f>
        <v>0.05</v>
      </c>
    </row>
    <row r="46" spans="1:13" x14ac:dyDescent="0.25">
      <c r="A46" t="s">
        <v>85</v>
      </c>
      <c r="B46" t="s">
        <v>56</v>
      </c>
      <c r="C46" t="s">
        <v>54</v>
      </c>
      <c r="D46" t="s">
        <v>36</v>
      </c>
      <c r="E46" s="7">
        <v>42565</v>
      </c>
      <c r="F46" s="5">
        <v>78402</v>
      </c>
      <c r="G46">
        <v>54</v>
      </c>
      <c r="H46" t="str">
        <f ca="1">TRIM(PROPER(Table1[[#This Row],[Employment Status]]))</f>
        <v>Active</v>
      </c>
      <c r="I46" t="str">
        <f>VLOOKUP(Table1[[#This Row],[Dept Code]],Lookup_Departments!$A$2:$B$7,2,FALSE)</f>
        <v>Sales</v>
      </c>
      <c r="J46" t="str">
        <f>CONCATENATE(Table1[[#This Row],[Last_Name]]," "," ",Table1[[#This Row],[First_Name]])</f>
        <v>Lopez  Amanda</v>
      </c>
      <c r="K46">
        <f ca="1">DATEDIF(Table1[[#This Row],[Hire Date]],TODAY(),"Y")</f>
        <v>10</v>
      </c>
      <c r="L46" t="str" cm="1">
        <f t="array" ref="L46">_xlfn.IFS(Table1[[#This Row],[Perf_Score]]&gt;=95,"Outstanding",Table1[[#This Row],[Perf_Score]]&gt;=85,"Exceeding",Table1[[#This Row],[Perf_Score]]&gt;=70,"Achieving",Table1[[#This Row],[Perf_Score]]&gt;=50,"Developing",Table1[[#This Row],[Perf_Score]]&gt;=0,"Needs Improvement")</f>
        <v>Developing</v>
      </c>
      <c r="M46" s="14" cm="1">
        <f t="array" ref="M46">_xlfn.IFS(Table1[[#This Row],[Perf_Score]]&gt;=95,0.12,Table1[[#This Row],[Perf_Score]]&gt;=85,0.08,Table1[[#This Row],[Perf_Score]]&gt;=70,0.05,Table1[[#This Row],[Perf_Score]]&gt;=50,0.02,Table1[[#This Row],[Perf_Score]]&gt;=0,0)</f>
        <v>0.02</v>
      </c>
    </row>
    <row r="47" spans="1:13" x14ac:dyDescent="0.25">
      <c r="A47" t="s">
        <v>86</v>
      </c>
      <c r="B47" t="s">
        <v>23</v>
      </c>
      <c r="C47" t="s">
        <v>54</v>
      </c>
      <c r="D47" t="s">
        <v>27</v>
      </c>
      <c r="E47" s="7">
        <v>42647</v>
      </c>
      <c r="F47" s="5">
        <v>105498</v>
      </c>
      <c r="G47">
        <v>76</v>
      </c>
      <c r="H47" t="str">
        <f ca="1">TRIM(PROPER(Table1[[#This Row],[Employment Status]]))</f>
        <v>Active</v>
      </c>
      <c r="I47" t="str">
        <f>VLOOKUP(Table1[[#This Row],[Dept Code]],Lookup_Departments!$A$2:$B$7,2,FALSE)</f>
        <v>Operations</v>
      </c>
      <c r="J47" t="str">
        <f>CONCATENATE(Table1[[#This Row],[Last_Name]]," "," ",Table1[[#This Row],[First_Name]])</f>
        <v>Lopez  Thomas</v>
      </c>
      <c r="K47">
        <f ca="1">DATEDIF(Table1[[#This Row],[Hire Date]],TODAY(),"Y")</f>
        <v>9</v>
      </c>
      <c r="L47" t="str" cm="1">
        <f t="array" ref="L47">_xlfn.IFS(Table1[[#This Row],[Perf_Score]]&gt;=95,"Outstanding",Table1[[#This Row],[Perf_Score]]&gt;=85,"Exceeding",Table1[[#This Row],[Perf_Score]]&gt;=70,"Achieving",Table1[[#This Row],[Perf_Score]]&gt;=50,"Developing",Table1[[#This Row],[Perf_Score]]&gt;=0,"Needs Improvement")</f>
        <v>Achieving</v>
      </c>
      <c r="M47" s="14" cm="1">
        <f t="array" ref="M47">_xlfn.IFS(Table1[[#This Row],[Perf_Score]]&gt;=95,0.12,Table1[[#This Row],[Perf_Score]]&gt;=85,0.08,Table1[[#This Row],[Perf_Score]]&gt;=70,0.05,Table1[[#This Row],[Perf_Score]]&gt;=50,0.02,Table1[[#This Row],[Perf_Score]]&gt;=0,0)</f>
        <v>0.05</v>
      </c>
    </row>
    <row r="48" spans="1:13" x14ac:dyDescent="0.25">
      <c r="A48" t="s">
        <v>87</v>
      </c>
      <c r="B48" t="s">
        <v>77</v>
      </c>
      <c r="C48" t="s">
        <v>26</v>
      </c>
      <c r="D48" t="s">
        <v>15</v>
      </c>
      <c r="E48" s="7">
        <v>43656</v>
      </c>
      <c r="F48" s="5">
        <v>91749</v>
      </c>
      <c r="G48">
        <v>72</v>
      </c>
      <c r="H48" t="str">
        <f ca="1">TRIM(PROPER(Table1[[#This Row],[Employment Status]]))</f>
        <v>Left</v>
      </c>
      <c r="I48" t="str">
        <f>VLOOKUP(Table1[[#This Row],[Dept Code]],Lookup_Departments!$A$2:$B$7,2,FALSE)</f>
        <v>Marketing</v>
      </c>
      <c r="J48" t="str">
        <f>CONCATENATE(Table1[[#This Row],[Last_Name]]," "," ",Table1[[#This Row],[First_Name]])</f>
        <v>Johnson  Melissa</v>
      </c>
      <c r="K48">
        <f ca="1">DATEDIF(Table1[[#This Row],[Hire Date]],TODAY(),"Y")</f>
        <v>7</v>
      </c>
      <c r="L48" t="str" cm="1">
        <f t="array" ref="L48">_xlfn.IFS(Table1[[#This Row],[Perf_Score]]&gt;=95,"Outstanding",Table1[[#This Row],[Perf_Score]]&gt;=85,"Exceeding",Table1[[#This Row],[Perf_Score]]&gt;=70,"Achieving",Table1[[#This Row],[Perf_Score]]&gt;=50,"Developing",Table1[[#This Row],[Perf_Score]]&gt;=0,"Needs Improvement")</f>
        <v>Achieving</v>
      </c>
      <c r="M48" s="14" cm="1">
        <f t="array" ref="M48">_xlfn.IFS(Table1[[#This Row],[Perf_Score]]&gt;=95,0.12,Table1[[#This Row],[Perf_Score]]&gt;=85,0.08,Table1[[#This Row],[Perf_Score]]&gt;=70,0.05,Table1[[#This Row],[Perf_Score]]&gt;=50,0.02,Table1[[#This Row],[Perf_Score]]&gt;=0,0)</f>
        <v>0.05</v>
      </c>
    </row>
    <row r="49" spans="1:13" x14ac:dyDescent="0.25">
      <c r="A49" t="s">
        <v>88</v>
      </c>
      <c r="B49" t="s">
        <v>56</v>
      </c>
      <c r="C49" t="s">
        <v>26</v>
      </c>
      <c r="D49" t="s">
        <v>27</v>
      </c>
      <c r="E49" s="7">
        <v>44437</v>
      </c>
      <c r="F49" s="5">
        <v>99935</v>
      </c>
      <c r="G49">
        <v>84</v>
      </c>
      <c r="H49" t="str">
        <f ca="1">TRIM(PROPER(Table1[[#This Row],[Employment Status]]))</f>
        <v>Resigned</v>
      </c>
      <c r="I49" t="str">
        <f>VLOOKUP(Table1[[#This Row],[Dept Code]],Lookup_Departments!$A$2:$B$7,2,FALSE)</f>
        <v>Operations</v>
      </c>
      <c r="J49" t="str">
        <f>CONCATENATE(Table1[[#This Row],[Last_Name]]," "," ",Table1[[#This Row],[First_Name]])</f>
        <v>Johnson  Amanda</v>
      </c>
      <c r="K49">
        <f ca="1">DATEDIF(Table1[[#This Row],[Hire Date]],TODAY(),"Y")</f>
        <v>4</v>
      </c>
      <c r="L49" t="str" cm="1">
        <f t="array" ref="L49">_xlfn.IFS(Table1[[#This Row],[Perf_Score]]&gt;=95,"Outstanding",Table1[[#This Row],[Perf_Score]]&gt;=85,"Exceeding",Table1[[#This Row],[Perf_Score]]&gt;=70,"Achieving",Table1[[#This Row],[Perf_Score]]&gt;=50,"Developing",Table1[[#This Row],[Perf_Score]]&gt;=0,"Needs Improvement")</f>
        <v>Achieving</v>
      </c>
      <c r="M49" s="14" cm="1">
        <f t="array" ref="M49">_xlfn.IFS(Table1[[#This Row],[Perf_Score]]&gt;=95,0.12,Table1[[#This Row],[Perf_Score]]&gt;=85,0.08,Table1[[#This Row],[Perf_Score]]&gt;=70,0.05,Table1[[#This Row],[Perf_Score]]&gt;=50,0.02,Table1[[#This Row],[Perf_Score]]&gt;=0,0)</f>
        <v>0.05</v>
      </c>
    </row>
    <row r="50" spans="1:13" x14ac:dyDescent="0.25">
      <c r="A50" t="s">
        <v>89</v>
      </c>
      <c r="B50" t="s">
        <v>19</v>
      </c>
      <c r="C50" t="s">
        <v>49</v>
      </c>
      <c r="D50" t="s">
        <v>11</v>
      </c>
      <c r="E50" s="7">
        <v>42761</v>
      </c>
      <c r="F50" s="5">
        <v>83531</v>
      </c>
      <c r="G50">
        <v>30</v>
      </c>
      <c r="H50" t="str">
        <f ca="1">TRIM(PROPER(Table1[[#This Row],[Employment Status]]))</f>
        <v>Left</v>
      </c>
      <c r="I50" t="str">
        <f>VLOOKUP(Table1[[#This Row],[Dept Code]],Lookup_Departments!$A$2:$B$7,2,FALSE)</f>
        <v>Information Technology</v>
      </c>
      <c r="J50" t="str">
        <f>CONCATENATE(Table1[[#This Row],[Last_Name]]," "," ",Table1[[#This Row],[First_Name]])</f>
        <v>Davis  John</v>
      </c>
      <c r="K50">
        <f ca="1">DATEDIF(Table1[[#This Row],[Hire Date]],TODAY(),"Y")</f>
        <v>9</v>
      </c>
      <c r="L50" t="str" cm="1">
        <f t="array" ref="L50">_xlfn.IFS(Table1[[#This Row],[Perf_Score]]&gt;=95,"Outstanding",Table1[[#This Row],[Perf_Score]]&gt;=85,"Exceeding",Table1[[#This Row],[Perf_Score]]&gt;=70,"Achieving",Table1[[#This Row],[Perf_Score]]&gt;=50,"Developing",Table1[[#This Row],[Perf_Score]]&gt;=0,"Needs Improvement")</f>
        <v>Needs Improvement</v>
      </c>
      <c r="M50" s="14" cm="1">
        <f t="array" ref="M50">_xlfn.IFS(Table1[[#This Row],[Perf_Score]]&gt;=95,0.12,Table1[[#This Row],[Perf_Score]]&gt;=85,0.08,Table1[[#This Row],[Perf_Score]]&gt;=70,0.05,Table1[[#This Row],[Perf_Score]]&gt;=50,0.02,Table1[[#This Row],[Perf_Score]]&gt;=0,0)</f>
        <v>0</v>
      </c>
    </row>
    <row r="51" spans="1:13" x14ac:dyDescent="0.25">
      <c r="A51" t="s">
        <v>90</v>
      </c>
      <c r="B51" t="s">
        <v>51</v>
      </c>
      <c r="C51" t="s">
        <v>26</v>
      </c>
      <c r="D51" t="s">
        <v>15</v>
      </c>
      <c r="E51" s="7">
        <v>43981</v>
      </c>
      <c r="F51" s="5">
        <v>75023</v>
      </c>
      <c r="G51">
        <v>68</v>
      </c>
      <c r="H51" t="str">
        <f ca="1">TRIM(PROPER(Table1[[#This Row],[Employment Status]]))</f>
        <v>Active</v>
      </c>
      <c r="I51" t="str">
        <f>VLOOKUP(Table1[[#This Row],[Dept Code]],Lookup_Departments!$A$2:$B$7,2,FALSE)</f>
        <v>Marketing</v>
      </c>
      <c r="J51" t="str">
        <f>CONCATENATE(Table1[[#This Row],[Last_Name]]," "," ",Table1[[#This Row],[First_Name]])</f>
        <v>Johnson  James</v>
      </c>
      <c r="K51">
        <f ca="1">DATEDIF(Table1[[#This Row],[Hire Date]],TODAY(),"Y")</f>
        <v>6</v>
      </c>
      <c r="L51" t="str" cm="1">
        <f t="array" ref="L51">_xlfn.IFS(Table1[[#This Row],[Perf_Score]]&gt;=95,"Outstanding",Table1[[#This Row],[Perf_Score]]&gt;=85,"Exceeding",Table1[[#This Row],[Perf_Score]]&gt;=70,"Achieving",Table1[[#This Row],[Perf_Score]]&gt;=50,"Developing",Table1[[#This Row],[Perf_Score]]&gt;=0,"Needs Improvement")</f>
        <v>Developing</v>
      </c>
      <c r="M51" s="14" cm="1">
        <f t="array" ref="M51">_xlfn.IFS(Table1[[#This Row],[Perf_Score]]&gt;=95,0.12,Table1[[#This Row],[Perf_Score]]&gt;=85,0.08,Table1[[#This Row],[Perf_Score]]&gt;=70,0.05,Table1[[#This Row],[Perf_Score]]&gt;=50,0.02,Table1[[#This Row],[Perf_Score]]&gt;=0,0)</f>
        <v>0.02</v>
      </c>
    </row>
    <row r="52" spans="1:13" x14ac:dyDescent="0.25">
      <c r="A52" t="s">
        <v>91</v>
      </c>
      <c r="B52" t="s">
        <v>41</v>
      </c>
      <c r="C52" t="s">
        <v>49</v>
      </c>
      <c r="D52" t="s">
        <v>72</v>
      </c>
      <c r="E52" s="7">
        <v>44612</v>
      </c>
      <c r="F52" s="5">
        <v>93290</v>
      </c>
      <c r="G52">
        <v>53</v>
      </c>
      <c r="H52" t="str">
        <f ca="1">TRIM(PROPER(Table1[[#This Row],[Employment Status]]))</f>
        <v>Active</v>
      </c>
      <c r="I52" t="str">
        <f>VLOOKUP(Table1[[#This Row],[Dept Code]],Lookup_Departments!$A$2:$B$7,2,FALSE)</f>
        <v>Human Resources</v>
      </c>
      <c r="J52" t="str">
        <f>CONCATENATE(Table1[[#This Row],[Last_Name]]," "," ",Table1[[#This Row],[First_Name]])</f>
        <v>Davis  Jane</v>
      </c>
      <c r="K52">
        <f ca="1">DATEDIF(Table1[[#This Row],[Hire Date]],TODAY(),"Y")</f>
        <v>4</v>
      </c>
      <c r="L52" t="str" cm="1">
        <f t="array" ref="L52">_xlfn.IFS(Table1[[#This Row],[Perf_Score]]&gt;=95,"Outstanding",Table1[[#This Row],[Perf_Score]]&gt;=85,"Exceeding",Table1[[#This Row],[Perf_Score]]&gt;=70,"Achieving",Table1[[#This Row],[Perf_Score]]&gt;=50,"Developing",Table1[[#This Row],[Perf_Score]]&gt;=0,"Needs Improvement")</f>
        <v>Developing</v>
      </c>
      <c r="M52" s="14" cm="1">
        <f t="array" ref="M52">_xlfn.IFS(Table1[[#This Row],[Perf_Score]]&gt;=95,0.12,Table1[[#This Row],[Perf_Score]]&gt;=85,0.08,Table1[[#This Row],[Perf_Score]]&gt;=70,0.05,Table1[[#This Row],[Perf_Score]]&gt;=50,0.02,Table1[[#This Row],[Perf_Score]]&gt;=0,0)</f>
        <v>0.02</v>
      </c>
    </row>
    <row r="53" spans="1:13" x14ac:dyDescent="0.25">
      <c r="A53" t="s">
        <v>92</v>
      </c>
      <c r="B53" t="s">
        <v>13</v>
      </c>
      <c r="C53" t="s">
        <v>49</v>
      </c>
      <c r="D53" t="s">
        <v>27</v>
      </c>
      <c r="E53" s="7">
        <v>42628</v>
      </c>
      <c r="F53" s="5">
        <v>115527</v>
      </c>
      <c r="G53">
        <v>63</v>
      </c>
      <c r="H53" t="str">
        <f ca="1">TRIM(PROPER(Table1[[#This Row],[Employment Status]]))</f>
        <v>Resigned</v>
      </c>
      <c r="I53" t="str">
        <f>VLOOKUP(Table1[[#This Row],[Dept Code]],Lookup_Departments!$A$2:$B$7,2,FALSE)</f>
        <v>Operations</v>
      </c>
      <c r="J53" t="str">
        <f>CONCATENATE(Table1[[#This Row],[Last_Name]]," "," ",Table1[[#This Row],[First_Name]])</f>
        <v>Davis  Richard</v>
      </c>
      <c r="K53">
        <f ca="1">DATEDIF(Table1[[#This Row],[Hire Date]],TODAY(),"Y")</f>
        <v>9</v>
      </c>
      <c r="L53" t="str" cm="1">
        <f t="array" ref="L53">_xlfn.IFS(Table1[[#This Row],[Perf_Score]]&gt;=95,"Outstanding",Table1[[#This Row],[Perf_Score]]&gt;=85,"Exceeding",Table1[[#This Row],[Perf_Score]]&gt;=70,"Achieving",Table1[[#This Row],[Perf_Score]]&gt;=50,"Developing",Table1[[#This Row],[Perf_Score]]&gt;=0,"Needs Improvement")</f>
        <v>Developing</v>
      </c>
      <c r="M53" s="14" cm="1">
        <f t="array" ref="M53">_xlfn.IFS(Table1[[#This Row],[Perf_Score]]&gt;=95,0.12,Table1[[#This Row],[Perf_Score]]&gt;=85,0.08,Table1[[#This Row],[Perf_Score]]&gt;=70,0.05,Table1[[#This Row],[Perf_Score]]&gt;=50,0.02,Table1[[#This Row],[Perf_Score]]&gt;=0,0)</f>
        <v>0.02</v>
      </c>
    </row>
    <row r="54" spans="1:13" x14ac:dyDescent="0.25">
      <c r="A54" t="s">
        <v>93</v>
      </c>
      <c r="B54" t="s">
        <v>23</v>
      </c>
      <c r="C54" t="s">
        <v>33</v>
      </c>
      <c r="D54" t="s">
        <v>21</v>
      </c>
      <c r="E54" s="7">
        <v>43745</v>
      </c>
      <c r="F54" s="5">
        <v>55920</v>
      </c>
      <c r="G54">
        <v>84</v>
      </c>
      <c r="H54" t="str">
        <f ca="1">TRIM(PROPER(Table1[[#This Row],[Employment Status]]))</f>
        <v>Active</v>
      </c>
      <c r="I54" t="str">
        <f>VLOOKUP(Table1[[#This Row],[Dept Code]],Lookup_Departments!$A$2:$B$7,2,FALSE)</f>
        <v>Finance</v>
      </c>
      <c r="J54" t="str">
        <f>CONCATENATE(Table1[[#This Row],[Last_Name]]," "," ",Table1[[#This Row],[First_Name]])</f>
        <v>Rodriguez  Thomas</v>
      </c>
      <c r="K54">
        <f ca="1">DATEDIF(Table1[[#This Row],[Hire Date]],TODAY(),"Y")</f>
        <v>6</v>
      </c>
      <c r="L54" t="str" cm="1">
        <f t="array" ref="L54">_xlfn.IFS(Table1[[#This Row],[Perf_Score]]&gt;=95,"Outstanding",Table1[[#This Row],[Perf_Score]]&gt;=85,"Exceeding",Table1[[#This Row],[Perf_Score]]&gt;=70,"Achieving",Table1[[#This Row],[Perf_Score]]&gt;=50,"Developing",Table1[[#This Row],[Perf_Score]]&gt;=0,"Needs Improvement")</f>
        <v>Achieving</v>
      </c>
      <c r="M54" s="14" cm="1">
        <f t="array" ref="M54">_xlfn.IFS(Table1[[#This Row],[Perf_Score]]&gt;=95,0.12,Table1[[#This Row],[Perf_Score]]&gt;=85,0.08,Table1[[#This Row],[Perf_Score]]&gt;=70,0.05,Table1[[#This Row],[Perf_Score]]&gt;=50,0.02,Table1[[#This Row],[Perf_Score]]&gt;=0,0)</f>
        <v>0.05</v>
      </c>
    </row>
    <row r="55" spans="1:13" x14ac:dyDescent="0.25">
      <c r="A55" t="s">
        <v>94</v>
      </c>
      <c r="B55" t="s">
        <v>9</v>
      </c>
      <c r="C55" t="s">
        <v>26</v>
      </c>
      <c r="D55" t="s">
        <v>36</v>
      </c>
      <c r="E55" s="7">
        <v>43464</v>
      </c>
      <c r="F55" s="5">
        <v>80189</v>
      </c>
      <c r="G55">
        <v>30</v>
      </c>
      <c r="H55" t="str">
        <f ca="1">TRIM(PROPER(Table1[[#This Row],[Employment Status]]))</f>
        <v>Active</v>
      </c>
      <c r="I55" t="str">
        <f>VLOOKUP(Table1[[#This Row],[Dept Code]],Lookup_Departments!$A$2:$B$7,2,FALSE)</f>
        <v>Sales</v>
      </c>
      <c r="J55" t="str">
        <f>CONCATENATE(Table1[[#This Row],[Last_Name]]," "," ",Table1[[#This Row],[First_Name]])</f>
        <v>Johnson  Emily</v>
      </c>
      <c r="K55">
        <f ca="1">DATEDIF(Table1[[#This Row],[Hire Date]],TODAY(),"Y")</f>
        <v>7</v>
      </c>
      <c r="L55" t="str" cm="1">
        <f t="array" ref="L55">_xlfn.IFS(Table1[[#This Row],[Perf_Score]]&gt;=95,"Outstanding",Table1[[#This Row],[Perf_Score]]&gt;=85,"Exceeding",Table1[[#This Row],[Perf_Score]]&gt;=70,"Achieving",Table1[[#This Row],[Perf_Score]]&gt;=50,"Developing",Table1[[#This Row],[Perf_Score]]&gt;=0,"Needs Improvement")</f>
        <v>Needs Improvement</v>
      </c>
      <c r="M55" s="14" cm="1">
        <f t="array" ref="M55">_xlfn.IFS(Table1[[#This Row],[Perf_Score]]&gt;=95,0.12,Table1[[#This Row],[Perf_Score]]&gt;=85,0.08,Table1[[#This Row],[Perf_Score]]&gt;=70,0.05,Table1[[#This Row],[Perf_Score]]&gt;=50,0.02,Table1[[#This Row],[Perf_Score]]&gt;=0,0)</f>
        <v>0</v>
      </c>
    </row>
    <row r="56" spans="1:13" x14ac:dyDescent="0.25">
      <c r="A56" t="s">
        <v>95</v>
      </c>
      <c r="B56" t="s">
        <v>9</v>
      </c>
      <c r="C56" t="s">
        <v>96</v>
      </c>
      <c r="D56" t="s">
        <v>72</v>
      </c>
      <c r="E56" s="7">
        <v>44189</v>
      </c>
      <c r="F56" s="5">
        <v>118947</v>
      </c>
      <c r="G56">
        <v>96</v>
      </c>
      <c r="H56" t="str">
        <f ca="1">TRIM(PROPER(Table1[[#This Row],[Employment Status]]))</f>
        <v>Active</v>
      </c>
      <c r="I56" t="str">
        <f>VLOOKUP(Table1[[#This Row],[Dept Code]],Lookup_Departments!$A$2:$B$7,2,FALSE)</f>
        <v>Human Resources</v>
      </c>
      <c r="J56" t="str">
        <f>CONCATENATE(Table1[[#This Row],[Last_Name]]," "," ",Table1[[#This Row],[First_Name]])</f>
        <v>Garcia  Emily</v>
      </c>
      <c r="K56">
        <f ca="1">DATEDIF(Table1[[#This Row],[Hire Date]],TODAY(),"Y")</f>
        <v>5</v>
      </c>
      <c r="L56" t="str" cm="1">
        <f t="array" ref="L56">_xlfn.IFS(Table1[[#This Row],[Perf_Score]]&gt;=95,"Outstanding",Table1[[#This Row],[Perf_Score]]&gt;=85,"Exceeding",Table1[[#This Row],[Perf_Score]]&gt;=70,"Achieving",Table1[[#This Row],[Perf_Score]]&gt;=50,"Developing",Table1[[#This Row],[Perf_Score]]&gt;=0,"Needs Improvement")</f>
        <v>Outstanding</v>
      </c>
      <c r="M56" s="14" cm="1">
        <f t="array" ref="M56">_xlfn.IFS(Table1[[#This Row],[Perf_Score]]&gt;=95,0.12,Table1[[#This Row],[Perf_Score]]&gt;=85,0.08,Table1[[#This Row],[Perf_Score]]&gt;=70,0.05,Table1[[#This Row],[Perf_Score]]&gt;=50,0.02,Table1[[#This Row],[Perf_Score]]&gt;=0,0)</f>
        <v>0.12</v>
      </c>
    </row>
    <row r="57" spans="1:13" x14ac:dyDescent="0.25">
      <c r="A57" t="s">
        <v>97</v>
      </c>
      <c r="B57" t="s">
        <v>41</v>
      </c>
      <c r="C57" t="s">
        <v>98</v>
      </c>
      <c r="D57" t="s">
        <v>11</v>
      </c>
      <c r="E57" s="7">
        <v>45112</v>
      </c>
      <c r="F57" s="5">
        <v>83594</v>
      </c>
      <c r="G57">
        <v>54</v>
      </c>
      <c r="H57" t="str">
        <f ca="1">TRIM(PROPER(Table1[[#This Row],[Employment Status]]))</f>
        <v>Active</v>
      </c>
      <c r="I57" t="str">
        <f>VLOOKUP(Table1[[#This Row],[Dept Code]],Lookup_Departments!$A$2:$B$7,2,FALSE)</f>
        <v>Information Technology</v>
      </c>
      <c r="J57" t="str">
        <f>CONCATENATE(Table1[[#This Row],[Last_Name]]," "," ",Table1[[#This Row],[First_Name]])</f>
        <v>Anderson  Jane</v>
      </c>
      <c r="K57">
        <f ca="1">DATEDIF(Table1[[#This Row],[Hire Date]],TODAY(),"Y")</f>
        <v>3</v>
      </c>
      <c r="L57" t="str" cm="1">
        <f t="array" ref="L57">_xlfn.IFS(Table1[[#This Row],[Perf_Score]]&gt;=95,"Outstanding",Table1[[#This Row],[Perf_Score]]&gt;=85,"Exceeding",Table1[[#This Row],[Perf_Score]]&gt;=70,"Achieving",Table1[[#This Row],[Perf_Score]]&gt;=50,"Developing",Table1[[#This Row],[Perf_Score]]&gt;=0,"Needs Improvement")</f>
        <v>Developing</v>
      </c>
      <c r="M57" s="14" cm="1">
        <f t="array" ref="M57">_xlfn.IFS(Table1[[#This Row],[Perf_Score]]&gt;=95,0.12,Table1[[#This Row],[Perf_Score]]&gt;=85,0.08,Table1[[#This Row],[Perf_Score]]&gt;=70,0.05,Table1[[#This Row],[Perf_Score]]&gt;=50,0.02,Table1[[#This Row],[Perf_Score]]&gt;=0,0)</f>
        <v>0.02</v>
      </c>
    </row>
    <row r="58" spans="1:13" x14ac:dyDescent="0.25">
      <c r="A58" t="s">
        <v>99</v>
      </c>
      <c r="B58" t="s">
        <v>23</v>
      </c>
      <c r="C58" t="s">
        <v>96</v>
      </c>
      <c r="D58" t="s">
        <v>27</v>
      </c>
      <c r="E58" s="7">
        <v>44148</v>
      </c>
      <c r="F58" s="5">
        <v>83002</v>
      </c>
      <c r="G58">
        <v>75</v>
      </c>
      <c r="H58" t="str">
        <f ca="1">TRIM(PROPER(Table1[[#This Row],[Employment Status]]))</f>
        <v>Active</v>
      </c>
      <c r="I58" t="str">
        <f>VLOOKUP(Table1[[#This Row],[Dept Code]],Lookup_Departments!$A$2:$B$7,2,FALSE)</f>
        <v>Operations</v>
      </c>
      <c r="J58" t="str">
        <f>CONCATENATE(Table1[[#This Row],[Last_Name]]," "," ",Table1[[#This Row],[First_Name]])</f>
        <v>Garcia  Thomas</v>
      </c>
      <c r="K58">
        <f ca="1">DATEDIF(Table1[[#This Row],[Hire Date]],TODAY(),"Y")</f>
        <v>5</v>
      </c>
      <c r="L58" t="str" cm="1">
        <f t="array" ref="L58">_xlfn.IFS(Table1[[#This Row],[Perf_Score]]&gt;=95,"Outstanding",Table1[[#This Row],[Perf_Score]]&gt;=85,"Exceeding",Table1[[#This Row],[Perf_Score]]&gt;=70,"Achieving",Table1[[#This Row],[Perf_Score]]&gt;=50,"Developing",Table1[[#This Row],[Perf_Score]]&gt;=0,"Needs Improvement")</f>
        <v>Achieving</v>
      </c>
      <c r="M58" s="14" cm="1">
        <f t="array" ref="M58">_xlfn.IFS(Table1[[#This Row],[Perf_Score]]&gt;=95,0.12,Table1[[#This Row],[Perf_Score]]&gt;=85,0.08,Table1[[#This Row],[Perf_Score]]&gt;=70,0.05,Table1[[#This Row],[Perf_Score]]&gt;=50,0.02,Table1[[#This Row],[Perf_Score]]&gt;=0,0)</f>
        <v>0.05</v>
      </c>
    </row>
    <row r="59" spans="1:13" x14ac:dyDescent="0.25">
      <c r="A59" t="s">
        <v>100</v>
      </c>
      <c r="B59" t="s">
        <v>82</v>
      </c>
      <c r="C59" t="s">
        <v>20</v>
      </c>
      <c r="D59" t="s">
        <v>72</v>
      </c>
      <c r="E59" s="7">
        <v>43138</v>
      </c>
      <c r="F59" s="5">
        <v>91655</v>
      </c>
      <c r="G59">
        <v>95</v>
      </c>
      <c r="H59" t="str">
        <f ca="1">TRIM(PROPER(Table1[[#This Row],[Employment Status]]))</f>
        <v>Active</v>
      </c>
      <c r="I59" t="str">
        <f>VLOOKUP(Table1[[#This Row],[Dept Code]],Lookup_Departments!$A$2:$B$7,2,FALSE)</f>
        <v>Human Resources</v>
      </c>
      <c r="J59" t="str">
        <f>CONCATENATE(Table1[[#This Row],[Last_Name]]," "," ",Table1[[#This Row],[First_Name]])</f>
        <v>Martinez  David</v>
      </c>
      <c r="K59">
        <f ca="1">DATEDIF(Table1[[#This Row],[Hire Date]],TODAY(),"Y")</f>
        <v>8</v>
      </c>
      <c r="L59" t="str" cm="1">
        <f t="array" ref="L59">_xlfn.IFS(Table1[[#This Row],[Perf_Score]]&gt;=95,"Outstanding",Table1[[#This Row],[Perf_Score]]&gt;=85,"Exceeding",Table1[[#This Row],[Perf_Score]]&gt;=70,"Achieving",Table1[[#This Row],[Perf_Score]]&gt;=50,"Developing",Table1[[#This Row],[Perf_Score]]&gt;=0,"Needs Improvement")</f>
        <v>Outstanding</v>
      </c>
      <c r="M59" s="14" cm="1">
        <f t="array" ref="M59">_xlfn.IFS(Table1[[#This Row],[Perf_Score]]&gt;=95,0.12,Table1[[#This Row],[Perf_Score]]&gt;=85,0.08,Table1[[#This Row],[Perf_Score]]&gt;=70,0.05,Table1[[#This Row],[Perf_Score]]&gt;=50,0.02,Table1[[#This Row],[Perf_Score]]&gt;=0,0)</f>
        <v>0.12</v>
      </c>
    </row>
    <row r="60" spans="1:13" x14ac:dyDescent="0.25">
      <c r="A60" t="s">
        <v>101</v>
      </c>
      <c r="B60" t="s">
        <v>9</v>
      </c>
      <c r="C60" t="s">
        <v>10</v>
      </c>
      <c r="D60" t="s">
        <v>11</v>
      </c>
      <c r="E60" s="7">
        <v>45255</v>
      </c>
      <c r="F60" s="5">
        <v>49435</v>
      </c>
      <c r="G60">
        <v>68</v>
      </c>
      <c r="H60" t="str">
        <f ca="1">TRIM(PROPER(Table1[[#This Row],[Employment Status]]))</f>
        <v>Left</v>
      </c>
      <c r="I60" t="str">
        <f>VLOOKUP(Table1[[#This Row],[Dept Code]],Lookup_Departments!$A$2:$B$7,2,FALSE)</f>
        <v>Information Technology</v>
      </c>
      <c r="J60" t="str">
        <f>CONCATENATE(Table1[[#This Row],[Last_Name]]," "," ",Table1[[#This Row],[First_Name]])</f>
        <v>Brown  Emily</v>
      </c>
      <c r="K60">
        <f ca="1">DATEDIF(Table1[[#This Row],[Hire Date]],TODAY(),"Y")</f>
        <v>2</v>
      </c>
      <c r="L60" t="str" cm="1">
        <f t="array" ref="L60">_xlfn.IFS(Table1[[#This Row],[Perf_Score]]&gt;=95,"Outstanding",Table1[[#This Row],[Perf_Score]]&gt;=85,"Exceeding",Table1[[#This Row],[Perf_Score]]&gt;=70,"Achieving",Table1[[#This Row],[Perf_Score]]&gt;=50,"Developing",Table1[[#This Row],[Perf_Score]]&gt;=0,"Needs Improvement")</f>
        <v>Developing</v>
      </c>
      <c r="M60" s="14" cm="1">
        <f t="array" ref="M60">_xlfn.IFS(Table1[[#This Row],[Perf_Score]]&gt;=95,0.12,Table1[[#This Row],[Perf_Score]]&gt;=85,0.08,Table1[[#This Row],[Perf_Score]]&gt;=70,0.05,Table1[[#This Row],[Perf_Score]]&gt;=50,0.02,Table1[[#This Row],[Perf_Score]]&gt;=0,0)</f>
        <v>0.02</v>
      </c>
    </row>
    <row r="61" spans="1:13" x14ac:dyDescent="0.25">
      <c r="A61" t="s">
        <v>102</v>
      </c>
      <c r="B61" t="s">
        <v>9</v>
      </c>
      <c r="C61" t="s">
        <v>29</v>
      </c>
      <c r="D61" t="s">
        <v>36</v>
      </c>
      <c r="E61" s="7">
        <v>45217</v>
      </c>
      <c r="F61" s="5">
        <v>110381</v>
      </c>
      <c r="G61">
        <v>93</v>
      </c>
      <c r="H61" t="str">
        <f ca="1">TRIM(PROPER(Table1[[#This Row],[Employment Status]]))</f>
        <v>Active</v>
      </c>
      <c r="I61" t="str">
        <f>VLOOKUP(Table1[[#This Row],[Dept Code]],Lookup_Departments!$A$2:$B$7,2,FALSE)</f>
        <v>Sales</v>
      </c>
      <c r="J61" t="str">
        <f>CONCATENATE(Table1[[#This Row],[Last_Name]]," "," ",Table1[[#This Row],[First_Name]])</f>
        <v>Wilson  Emily</v>
      </c>
      <c r="K61">
        <f ca="1">DATEDIF(Table1[[#This Row],[Hire Date]],TODAY(),"Y")</f>
        <v>2</v>
      </c>
      <c r="L61" t="str" cm="1">
        <f t="array" ref="L61">_xlfn.IFS(Table1[[#This Row],[Perf_Score]]&gt;=95,"Outstanding",Table1[[#This Row],[Perf_Score]]&gt;=85,"Exceeding",Table1[[#This Row],[Perf_Score]]&gt;=70,"Achieving",Table1[[#This Row],[Perf_Score]]&gt;=50,"Developing",Table1[[#This Row],[Perf_Score]]&gt;=0,"Needs Improvement")</f>
        <v>Exceeding</v>
      </c>
      <c r="M61" s="14" cm="1">
        <f t="array" ref="M61">_xlfn.IFS(Table1[[#This Row],[Perf_Score]]&gt;=95,0.12,Table1[[#This Row],[Perf_Score]]&gt;=85,0.08,Table1[[#This Row],[Perf_Score]]&gt;=70,0.05,Table1[[#This Row],[Perf_Score]]&gt;=50,0.02,Table1[[#This Row],[Perf_Score]]&gt;=0,0)</f>
        <v>0.08</v>
      </c>
    </row>
    <row r="62" spans="1:13" x14ac:dyDescent="0.25">
      <c r="A62" t="s">
        <v>103</v>
      </c>
      <c r="B62" t="s">
        <v>35</v>
      </c>
      <c r="C62" t="s">
        <v>98</v>
      </c>
      <c r="D62" t="s">
        <v>72</v>
      </c>
      <c r="E62" s="7">
        <v>44079</v>
      </c>
      <c r="F62" s="5">
        <v>114748</v>
      </c>
      <c r="G62">
        <v>33</v>
      </c>
      <c r="H62" t="str">
        <f ca="1">TRIM(PROPER(Table1[[#This Row],[Employment Status]]))</f>
        <v>Active</v>
      </c>
      <c r="I62" t="str">
        <f>VLOOKUP(Table1[[#This Row],[Dept Code]],Lookup_Departments!$A$2:$B$7,2,FALSE)</f>
        <v>Human Resources</v>
      </c>
      <c r="J62" t="str">
        <f>CONCATENATE(Table1[[#This Row],[Last_Name]]," "," ",Table1[[#This Row],[First_Name]])</f>
        <v>Anderson  Michael</v>
      </c>
      <c r="K62">
        <f ca="1">DATEDIF(Table1[[#This Row],[Hire Date]],TODAY(),"Y")</f>
        <v>5</v>
      </c>
      <c r="L62" t="str" cm="1">
        <f t="array" ref="L62">_xlfn.IFS(Table1[[#This Row],[Perf_Score]]&gt;=95,"Outstanding",Table1[[#This Row],[Perf_Score]]&gt;=85,"Exceeding",Table1[[#This Row],[Perf_Score]]&gt;=70,"Achieving",Table1[[#This Row],[Perf_Score]]&gt;=50,"Developing",Table1[[#This Row],[Perf_Score]]&gt;=0,"Needs Improvement")</f>
        <v>Needs Improvement</v>
      </c>
      <c r="M62" s="14" cm="1">
        <f t="array" ref="M62">_xlfn.IFS(Table1[[#This Row],[Perf_Score]]&gt;=95,0.12,Table1[[#This Row],[Perf_Score]]&gt;=85,0.08,Table1[[#This Row],[Perf_Score]]&gt;=70,0.05,Table1[[#This Row],[Perf_Score]]&gt;=50,0.02,Table1[[#This Row],[Perf_Score]]&gt;=0,0)</f>
        <v>0</v>
      </c>
    </row>
    <row r="63" spans="1:13" x14ac:dyDescent="0.25">
      <c r="A63" t="s">
        <v>104</v>
      </c>
      <c r="B63" t="s">
        <v>45</v>
      </c>
      <c r="C63" t="s">
        <v>26</v>
      </c>
      <c r="D63" t="s">
        <v>27</v>
      </c>
      <c r="E63" s="7">
        <v>42800</v>
      </c>
      <c r="F63" s="5">
        <v>63302</v>
      </c>
      <c r="G63">
        <v>91</v>
      </c>
      <c r="H63" t="str">
        <f ca="1">TRIM(PROPER(Table1[[#This Row],[Employment Status]]))</f>
        <v>Active</v>
      </c>
      <c r="I63" t="str">
        <f>VLOOKUP(Table1[[#This Row],[Dept Code]],Lookup_Departments!$A$2:$B$7,2,FALSE)</f>
        <v>Operations</v>
      </c>
      <c r="J63" t="str">
        <f>CONCATENATE(Table1[[#This Row],[Last_Name]]," "," ",Table1[[#This Row],[First_Name]])</f>
        <v>Johnson  Robert</v>
      </c>
      <c r="K63">
        <f ca="1">DATEDIF(Table1[[#This Row],[Hire Date]],TODAY(),"Y")</f>
        <v>9</v>
      </c>
      <c r="L63" t="str" cm="1">
        <f t="array" ref="L63">_xlfn.IFS(Table1[[#This Row],[Perf_Score]]&gt;=95,"Outstanding",Table1[[#This Row],[Perf_Score]]&gt;=85,"Exceeding",Table1[[#This Row],[Perf_Score]]&gt;=70,"Achieving",Table1[[#This Row],[Perf_Score]]&gt;=50,"Developing",Table1[[#This Row],[Perf_Score]]&gt;=0,"Needs Improvement")</f>
        <v>Exceeding</v>
      </c>
      <c r="M63" s="14" cm="1">
        <f t="array" ref="M63">_xlfn.IFS(Table1[[#This Row],[Perf_Score]]&gt;=95,0.12,Table1[[#This Row],[Perf_Score]]&gt;=85,0.08,Table1[[#This Row],[Perf_Score]]&gt;=70,0.05,Table1[[#This Row],[Perf_Score]]&gt;=50,0.02,Table1[[#This Row],[Perf_Score]]&gt;=0,0)</f>
        <v>0.08</v>
      </c>
    </row>
    <row r="64" spans="1:13" x14ac:dyDescent="0.25">
      <c r="A64" t="s">
        <v>105</v>
      </c>
      <c r="B64" t="s">
        <v>45</v>
      </c>
      <c r="C64" t="s">
        <v>38</v>
      </c>
      <c r="D64" t="s">
        <v>11</v>
      </c>
      <c r="E64" s="7">
        <v>42122</v>
      </c>
      <c r="F64" s="5">
        <v>75519</v>
      </c>
      <c r="G64">
        <v>64</v>
      </c>
      <c r="H64" t="str">
        <f ca="1">TRIM(PROPER(Table1[[#This Row],[Employment Status]]))</f>
        <v>Active</v>
      </c>
      <c r="I64" t="str">
        <f>VLOOKUP(Table1[[#This Row],[Dept Code]],Lookup_Departments!$A$2:$B$7,2,FALSE)</f>
        <v>Information Technology</v>
      </c>
      <c r="J64" t="str">
        <f>CONCATENATE(Table1[[#This Row],[Last_Name]]," "," ",Table1[[#This Row],[First_Name]])</f>
        <v>Miller  Robert</v>
      </c>
      <c r="K64">
        <f ca="1">DATEDIF(Table1[[#This Row],[Hire Date]],TODAY(),"Y")</f>
        <v>11</v>
      </c>
      <c r="L64" t="str" cm="1">
        <f t="array" ref="L64">_xlfn.IFS(Table1[[#This Row],[Perf_Score]]&gt;=95,"Outstanding",Table1[[#This Row],[Perf_Score]]&gt;=85,"Exceeding",Table1[[#This Row],[Perf_Score]]&gt;=70,"Achieving",Table1[[#This Row],[Perf_Score]]&gt;=50,"Developing",Table1[[#This Row],[Perf_Score]]&gt;=0,"Needs Improvement")</f>
        <v>Developing</v>
      </c>
      <c r="M64" s="14" cm="1">
        <f t="array" ref="M64">_xlfn.IFS(Table1[[#This Row],[Perf_Score]]&gt;=95,0.12,Table1[[#This Row],[Perf_Score]]&gt;=85,0.08,Table1[[#This Row],[Perf_Score]]&gt;=70,0.05,Table1[[#This Row],[Perf_Score]]&gt;=50,0.02,Table1[[#This Row],[Perf_Score]]&gt;=0,0)</f>
        <v>0.02</v>
      </c>
    </row>
    <row r="65" spans="1:13" x14ac:dyDescent="0.25">
      <c r="A65" t="s">
        <v>106</v>
      </c>
      <c r="B65" t="s">
        <v>41</v>
      </c>
      <c r="C65" t="s">
        <v>49</v>
      </c>
      <c r="D65" t="s">
        <v>21</v>
      </c>
      <c r="E65" s="7">
        <v>42838</v>
      </c>
      <c r="F65" s="5">
        <v>103891</v>
      </c>
      <c r="G65">
        <v>80</v>
      </c>
      <c r="H65" t="str">
        <f ca="1">TRIM(PROPER(Table1[[#This Row],[Employment Status]]))</f>
        <v>Active</v>
      </c>
      <c r="I65" t="str">
        <f>VLOOKUP(Table1[[#This Row],[Dept Code]],Lookup_Departments!$A$2:$B$7,2,FALSE)</f>
        <v>Finance</v>
      </c>
      <c r="J65" t="str">
        <f>CONCATENATE(Table1[[#This Row],[Last_Name]]," "," ",Table1[[#This Row],[First_Name]])</f>
        <v>Davis  Jane</v>
      </c>
      <c r="K65">
        <f ca="1">DATEDIF(Table1[[#This Row],[Hire Date]],TODAY(),"Y")</f>
        <v>9</v>
      </c>
      <c r="L65" t="str" cm="1">
        <f t="array" ref="L65">_xlfn.IFS(Table1[[#This Row],[Perf_Score]]&gt;=95,"Outstanding",Table1[[#This Row],[Perf_Score]]&gt;=85,"Exceeding",Table1[[#This Row],[Perf_Score]]&gt;=70,"Achieving",Table1[[#This Row],[Perf_Score]]&gt;=50,"Developing",Table1[[#This Row],[Perf_Score]]&gt;=0,"Needs Improvement")</f>
        <v>Achieving</v>
      </c>
      <c r="M65" s="14" cm="1">
        <f t="array" ref="M65">_xlfn.IFS(Table1[[#This Row],[Perf_Score]]&gt;=95,0.12,Table1[[#This Row],[Perf_Score]]&gt;=85,0.08,Table1[[#This Row],[Perf_Score]]&gt;=70,0.05,Table1[[#This Row],[Perf_Score]]&gt;=50,0.02,Table1[[#This Row],[Perf_Score]]&gt;=0,0)</f>
        <v>0.05</v>
      </c>
    </row>
    <row r="66" spans="1:13" x14ac:dyDescent="0.25">
      <c r="A66" t="s">
        <v>107</v>
      </c>
      <c r="B66" t="s">
        <v>23</v>
      </c>
      <c r="C66" t="s">
        <v>49</v>
      </c>
      <c r="D66" t="s">
        <v>27</v>
      </c>
      <c r="E66" s="7">
        <v>44827</v>
      </c>
      <c r="F66" s="5">
        <v>83002</v>
      </c>
      <c r="G66">
        <v>46</v>
      </c>
      <c r="H66" t="str">
        <f ca="1">TRIM(PROPER(Table1[[#This Row],[Employment Status]]))</f>
        <v>Left</v>
      </c>
      <c r="I66" t="str">
        <f>VLOOKUP(Table1[[#This Row],[Dept Code]],Lookup_Departments!$A$2:$B$7,2,FALSE)</f>
        <v>Operations</v>
      </c>
      <c r="J66" t="str">
        <f>CONCATENATE(Table1[[#This Row],[Last_Name]]," "," ",Table1[[#This Row],[First_Name]])</f>
        <v>Davis  Thomas</v>
      </c>
      <c r="K66">
        <f ca="1">DATEDIF(Table1[[#This Row],[Hire Date]],TODAY(),"Y")</f>
        <v>3</v>
      </c>
      <c r="L66" t="str" cm="1">
        <f t="array" ref="L66">_xlfn.IFS(Table1[[#This Row],[Perf_Score]]&gt;=95,"Outstanding",Table1[[#This Row],[Perf_Score]]&gt;=85,"Exceeding",Table1[[#This Row],[Perf_Score]]&gt;=70,"Achieving",Table1[[#This Row],[Perf_Score]]&gt;=50,"Developing",Table1[[#This Row],[Perf_Score]]&gt;=0,"Needs Improvement")</f>
        <v>Needs Improvement</v>
      </c>
      <c r="M66" s="14" cm="1">
        <f t="array" ref="M66">_xlfn.IFS(Table1[[#This Row],[Perf_Score]]&gt;=95,0.12,Table1[[#This Row],[Perf_Score]]&gt;=85,0.08,Table1[[#This Row],[Perf_Score]]&gt;=70,0.05,Table1[[#This Row],[Perf_Score]]&gt;=50,0.02,Table1[[#This Row],[Perf_Score]]&gt;=0,0)</f>
        <v>0</v>
      </c>
    </row>
    <row r="67" spans="1:13" x14ac:dyDescent="0.25">
      <c r="A67" t="s">
        <v>108</v>
      </c>
      <c r="B67" t="s">
        <v>23</v>
      </c>
      <c r="C67" t="s">
        <v>46</v>
      </c>
      <c r="D67" t="s">
        <v>15</v>
      </c>
      <c r="E67" s="7">
        <v>42685</v>
      </c>
      <c r="F67" s="5">
        <v>50936</v>
      </c>
      <c r="G67">
        <v>99</v>
      </c>
      <c r="H67" t="str">
        <f ca="1">TRIM(PROPER(Table1[[#This Row],[Employment Status]]))</f>
        <v>Active</v>
      </c>
      <c r="I67" t="str">
        <f>VLOOKUP(Table1[[#This Row],[Dept Code]],Lookup_Departments!$A$2:$B$7,2,FALSE)</f>
        <v>Marketing</v>
      </c>
      <c r="J67" t="str">
        <f>CONCATENATE(Table1[[#This Row],[Last_Name]]," "," ",Table1[[#This Row],[First_Name]])</f>
        <v>Jones  Thomas</v>
      </c>
      <c r="K67">
        <f ca="1">DATEDIF(Table1[[#This Row],[Hire Date]],TODAY(),"Y")</f>
        <v>9</v>
      </c>
      <c r="L67" t="str" cm="1">
        <f t="array" ref="L67">_xlfn.IFS(Table1[[#This Row],[Perf_Score]]&gt;=95,"Outstanding",Table1[[#This Row],[Perf_Score]]&gt;=85,"Exceeding",Table1[[#This Row],[Perf_Score]]&gt;=70,"Achieving",Table1[[#This Row],[Perf_Score]]&gt;=50,"Developing",Table1[[#This Row],[Perf_Score]]&gt;=0,"Needs Improvement")</f>
        <v>Outstanding</v>
      </c>
      <c r="M67" s="14" cm="1">
        <f t="array" ref="M67">_xlfn.IFS(Table1[[#This Row],[Perf_Score]]&gt;=95,0.12,Table1[[#This Row],[Perf_Score]]&gt;=85,0.08,Table1[[#This Row],[Perf_Score]]&gt;=70,0.05,Table1[[#This Row],[Perf_Score]]&gt;=50,0.02,Table1[[#This Row],[Perf_Score]]&gt;=0,0)</f>
        <v>0.12</v>
      </c>
    </row>
    <row r="68" spans="1:13" x14ac:dyDescent="0.25">
      <c r="A68" t="s">
        <v>109</v>
      </c>
      <c r="B68" t="s">
        <v>35</v>
      </c>
      <c r="C68" t="s">
        <v>38</v>
      </c>
      <c r="D68" t="s">
        <v>36</v>
      </c>
      <c r="E68" s="7">
        <v>42818</v>
      </c>
      <c r="F68" s="5">
        <v>111240</v>
      </c>
      <c r="G68">
        <v>68</v>
      </c>
      <c r="H68" t="str">
        <f ca="1">TRIM(PROPER(Table1[[#This Row],[Employment Status]]))</f>
        <v>Active</v>
      </c>
      <c r="I68" t="str">
        <f>VLOOKUP(Table1[[#This Row],[Dept Code]],Lookup_Departments!$A$2:$B$7,2,FALSE)</f>
        <v>Sales</v>
      </c>
      <c r="J68" t="str">
        <f>CONCATENATE(Table1[[#This Row],[Last_Name]]," "," ",Table1[[#This Row],[First_Name]])</f>
        <v>Miller  Michael</v>
      </c>
      <c r="K68">
        <f ca="1">DATEDIF(Table1[[#This Row],[Hire Date]],TODAY(),"Y")</f>
        <v>9</v>
      </c>
      <c r="L68" t="str" cm="1">
        <f t="array" ref="L68">_xlfn.IFS(Table1[[#This Row],[Perf_Score]]&gt;=95,"Outstanding",Table1[[#This Row],[Perf_Score]]&gt;=85,"Exceeding",Table1[[#This Row],[Perf_Score]]&gt;=70,"Achieving",Table1[[#This Row],[Perf_Score]]&gt;=50,"Developing",Table1[[#This Row],[Perf_Score]]&gt;=0,"Needs Improvement")</f>
        <v>Developing</v>
      </c>
      <c r="M68" s="14" cm="1">
        <f t="array" ref="M68">_xlfn.IFS(Table1[[#This Row],[Perf_Score]]&gt;=95,0.12,Table1[[#This Row],[Perf_Score]]&gt;=85,0.08,Table1[[#This Row],[Perf_Score]]&gt;=70,0.05,Table1[[#This Row],[Perf_Score]]&gt;=50,0.02,Table1[[#This Row],[Perf_Score]]&gt;=0,0)</f>
        <v>0.02</v>
      </c>
    </row>
    <row r="69" spans="1:13" x14ac:dyDescent="0.25">
      <c r="A69" t="s">
        <v>110</v>
      </c>
      <c r="B69" t="s">
        <v>13</v>
      </c>
      <c r="C69" t="s">
        <v>17</v>
      </c>
      <c r="D69" t="s">
        <v>72</v>
      </c>
      <c r="E69" s="7">
        <v>43590</v>
      </c>
      <c r="F69" s="5">
        <v>51567</v>
      </c>
      <c r="G69">
        <v>87</v>
      </c>
      <c r="H69" t="str">
        <f ca="1">TRIM(PROPER(Table1[[#This Row],[Employment Status]]))</f>
        <v>Resigned</v>
      </c>
      <c r="I69" t="str">
        <f>VLOOKUP(Table1[[#This Row],[Dept Code]],Lookup_Departments!$A$2:$B$7,2,FALSE)</f>
        <v>Human Resources</v>
      </c>
      <c r="J69" t="str">
        <f>CONCATENATE(Table1[[#This Row],[Last_Name]]," "," ",Table1[[#This Row],[First_Name]])</f>
        <v>Gonzalez  Richard</v>
      </c>
      <c r="K69">
        <f ca="1">DATEDIF(Table1[[#This Row],[Hire Date]],TODAY(),"Y")</f>
        <v>7</v>
      </c>
      <c r="L69" t="str" cm="1">
        <f t="array" ref="L69">_xlfn.IFS(Table1[[#This Row],[Perf_Score]]&gt;=95,"Outstanding",Table1[[#This Row],[Perf_Score]]&gt;=85,"Exceeding",Table1[[#This Row],[Perf_Score]]&gt;=70,"Achieving",Table1[[#This Row],[Perf_Score]]&gt;=50,"Developing",Table1[[#This Row],[Perf_Score]]&gt;=0,"Needs Improvement")</f>
        <v>Exceeding</v>
      </c>
      <c r="M69" s="14" cm="1">
        <f t="array" ref="M69">_xlfn.IFS(Table1[[#This Row],[Perf_Score]]&gt;=95,0.12,Table1[[#This Row],[Perf_Score]]&gt;=85,0.08,Table1[[#This Row],[Perf_Score]]&gt;=70,0.05,Table1[[#This Row],[Perf_Score]]&gt;=50,0.02,Table1[[#This Row],[Perf_Score]]&gt;=0,0)</f>
        <v>0.08</v>
      </c>
    </row>
    <row r="70" spans="1:13" x14ac:dyDescent="0.25">
      <c r="A70" t="s">
        <v>111</v>
      </c>
      <c r="B70" t="s">
        <v>77</v>
      </c>
      <c r="C70" t="s">
        <v>42</v>
      </c>
      <c r="D70" t="s">
        <v>72</v>
      </c>
      <c r="E70" s="7">
        <v>44402</v>
      </c>
      <c r="F70" s="5">
        <v>82225</v>
      </c>
      <c r="G70">
        <v>36</v>
      </c>
      <c r="H70" t="str">
        <f ca="1">TRIM(PROPER(Table1[[#This Row],[Employment Status]]))</f>
        <v>Active</v>
      </c>
      <c r="I70" t="str">
        <f>VLOOKUP(Table1[[#This Row],[Dept Code]],Lookup_Departments!$A$2:$B$7,2,FALSE)</f>
        <v>Human Resources</v>
      </c>
      <c r="J70" t="str">
        <f>CONCATENATE(Table1[[#This Row],[Last_Name]]," "," ",Table1[[#This Row],[First_Name]])</f>
        <v>Williams  Melissa</v>
      </c>
      <c r="K70">
        <f ca="1">DATEDIF(Table1[[#This Row],[Hire Date]],TODAY(),"Y")</f>
        <v>4</v>
      </c>
      <c r="L70" t="str" cm="1">
        <f t="array" ref="L70">_xlfn.IFS(Table1[[#This Row],[Perf_Score]]&gt;=95,"Outstanding",Table1[[#This Row],[Perf_Score]]&gt;=85,"Exceeding",Table1[[#This Row],[Perf_Score]]&gt;=70,"Achieving",Table1[[#This Row],[Perf_Score]]&gt;=50,"Developing",Table1[[#This Row],[Perf_Score]]&gt;=0,"Needs Improvement")</f>
        <v>Needs Improvement</v>
      </c>
      <c r="M70" s="14" cm="1">
        <f t="array" ref="M70">_xlfn.IFS(Table1[[#This Row],[Perf_Score]]&gt;=95,0.12,Table1[[#This Row],[Perf_Score]]&gt;=85,0.08,Table1[[#This Row],[Perf_Score]]&gt;=70,0.05,Table1[[#This Row],[Perf_Score]]&gt;=50,0.02,Table1[[#This Row],[Perf_Score]]&gt;=0,0)</f>
        <v>0</v>
      </c>
    </row>
    <row r="71" spans="1:13" x14ac:dyDescent="0.25">
      <c r="A71" t="s">
        <v>112</v>
      </c>
      <c r="B71" t="s">
        <v>45</v>
      </c>
      <c r="C71" t="s">
        <v>38</v>
      </c>
      <c r="D71" t="s">
        <v>72</v>
      </c>
      <c r="E71" s="7">
        <v>43008</v>
      </c>
      <c r="F71" s="5">
        <v>55270</v>
      </c>
      <c r="G71">
        <v>87</v>
      </c>
      <c r="H71" t="str">
        <f ca="1">TRIM(PROPER(Table1[[#This Row],[Employment Status]]))</f>
        <v>Active</v>
      </c>
      <c r="I71" t="str">
        <f>VLOOKUP(Table1[[#This Row],[Dept Code]],Lookup_Departments!$A$2:$B$7,2,FALSE)</f>
        <v>Human Resources</v>
      </c>
      <c r="J71" t="str">
        <f>CONCATENATE(Table1[[#This Row],[Last_Name]]," "," ",Table1[[#This Row],[First_Name]])</f>
        <v>Miller  Robert</v>
      </c>
      <c r="K71">
        <f ca="1">DATEDIF(Table1[[#This Row],[Hire Date]],TODAY(),"Y")</f>
        <v>8</v>
      </c>
      <c r="L71" t="str" cm="1">
        <f t="array" ref="L71">_xlfn.IFS(Table1[[#This Row],[Perf_Score]]&gt;=95,"Outstanding",Table1[[#This Row],[Perf_Score]]&gt;=85,"Exceeding",Table1[[#This Row],[Perf_Score]]&gt;=70,"Achieving",Table1[[#This Row],[Perf_Score]]&gt;=50,"Developing",Table1[[#This Row],[Perf_Score]]&gt;=0,"Needs Improvement")</f>
        <v>Exceeding</v>
      </c>
      <c r="M71" s="14" cm="1">
        <f t="array" ref="M71">_xlfn.IFS(Table1[[#This Row],[Perf_Score]]&gt;=95,0.12,Table1[[#This Row],[Perf_Score]]&gt;=85,0.08,Table1[[#This Row],[Perf_Score]]&gt;=70,0.05,Table1[[#This Row],[Perf_Score]]&gt;=50,0.02,Table1[[#This Row],[Perf_Score]]&gt;=0,0)</f>
        <v>0.08</v>
      </c>
    </row>
    <row r="72" spans="1:13" x14ac:dyDescent="0.25">
      <c r="A72" t="s">
        <v>113</v>
      </c>
      <c r="B72" t="s">
        <v>114</v>
      </c>
      <c r="C72" t="s">
        <v>96</v>
      </c>
      <c r="D72" t="s">
        <v>36</v>
      </c>
      <c r="E72" s="7">
        <v>42192</v>
      </c>
      <c r="F72" s="5">
        <v>65235</v>
      </c>
      <c r="G72">
        <v>97</v>
      </c>
      <c r="H72" t="str">
        <f ca="1">TRIM(PROPER(Table1[[#This Row],[Employment Status]]))</f>
        <v>Active</v>
      </c>
      <c r="I72" t="str">
        <f>VLOOKUP(Table1[[#This Row],[Dept Code]],Lookup_Departments!$A$2:$B$7,2,FALSE)</f>
        <v>Sales</v>
      </c>
      <c r="J72" t="str">
        <f>CONCATENATE(Table1[[#This Row],[Last_Name]]," "," ",Table1[[#This Row],[First_Name]])</f>
        <v>Garcia  William</v>
      </c>
      <c r="K72">
        <f ca="1">DATEDIF(Table1[[#This Row],[Hire Date]],TODAY(),"Y")</f>
        <v>11</v>
      </c>
      <c r="L72" t="str" cm="1">
        <f t="array" ref="L72">_xlfn.IFS(Table1[[#This Row],[Perf_Score]]&gt;=95,"Outstanding",Table1[[#This Row],[Perf_Score]]&gt;=85,"Exceeding",Table1[[#This Row],[Perf_Score]]&gt;=70,"Achieving",Table1[[#This Row],[Perf_Score]]&gt;=50,"Developing",Table1[[#This Row],[Perf_Score]]&gt;=0,"Needs Improvement")</f>
        <v>Outstanding</v>
      </c>
      <c r="M72" s="14" cm="1">
        <f t="array" ref="M72">_xlfn.IFS(Table1[[#This Row],[Perf_Score]]&gt;=95,0.12,Table1[[#This Row],[Perf_Score]]&gt;=85,0.08,Table1[[#This Row],[Perf_Score]]&gt;=70,0.05,Table1[[#This Row],[Perf_Score]]&gt;=50,0.02,Table1[[#This Row],[Perf_Score]]&gt;=0,0)</f>
        <v>0.12</v>
      </c>
    </row>
    <row r="73" spans="1:13" x14ac:dyDescent="0.25">
      <c r="A73" t="s">
        <v>115</v>
      </c>
      <c r="B73" t="s">
        <v>19</v>
      </c>
      <c r="C73" t="s">
        <v>17</v>
      </c>
      <c r="D73" t="s">
        <v>36</v>
      </c>
      <c r="E73" s="7">
        <v>43283</v>
      </c>
      <c r="F73" s="5">
        <v>83126</v>
      </c>
      <c r="G73">
        <v>72</v>
      </c>
      <c r="H73" t="str">
        <f ca="1">TRIM(PROPER(Table1[[#This Row],[Employment Status]]))</f>
        <v>Left</v>
      </c>
      <c r="I73" t="str">
        <f>VLOOKUP(Table1[[#This Row],[Dept Code]],Lookup_Departments!$A$2:$B$7,2,FALSE)</f>
        <v>Sales</v>
      </c>
      <c r="J73" t="str">
        <f>CONCATENATE(Table1[[#This Row],[Last_Name]]," "," ",Table1[[#This Row],[First_Name]])</f>
        <v>Gonzalez  John</v>
      </c>
      <c r="K73">
        <f ca="1">DATEDIF(Table1[[#This Row],[Hire Date]],TODAY(),"Y")</f>
        <v>8</v>
      </c>
      <c r="L73" t="str" cm="1">
        <f t="array" ref="L73">_xlfn.IFS(Table1[[#This Row],[Perf_Score]]&gt;=95,"Outstanding",Table1[[#This Row],[Perf_Score]]&gt;=85,"Exceeding",Table1[[#This Row],[Perf_Score]]&gt;=70,"Achieving",Table1[[#This Row],[Perf_Score]]&gt;=50,"Developing",Table1[[#This Row],[Perf_Score]]&gt;=0,"Needs Improvement")</f>
        <v>Achieving</v>
      </c>
      <c r="M73" s="14" cm="1">
        <f t="array" ref="M73">_xlfn.IFS(Table1[[#This Row],[Perf_Score]]&gt;=95,0.12,Table1[[#This Row],[Perf_Score]]&gt;=85,0.08,Table1[[#This Row],[Perf_Score]]&gt;=70,0.05,Table1[[#This Row],[Perf_Score]]&gt;=50,0.02,Table1[[#This Row],[Perf_Score]]&gt;=0,0)</f>
        <v>0.05</v>
      </c>
    </row>
    <row r="74" spans="1:13" x14ac:dyDescent="0.25">
      <c r="A74" t="s">
        <v>116</v>
      </c>
      <c r="B74" t="s">
        <v>51</v>
      </c>
      <c r="C74" t="s">
        <v>17</v>
      </c>
      <c r="D74" t="s">
        <v>36</v>
      </c>
      <c r="E74" s="7">
        <v>44819</v>
      </c>
      <c r="F74" s="5">
        <v>83126</v>
      </c>
      <c r="G74">
        <v>65</v>
      </c>
      <c r="H74" t="str">
        <f ca="1">TRIM(PROPER(Table1[[#This Row],[Employment Status]]))</f>
        <v>Left</v>
      </c>
      <c r="I74" t="str">
        <f>VLOOKUP(Table1[[#This Row],[Dept Code]],Lookup_Departments!$A$2:$B$7,2,FALSE)</f>
        <v>Sales</v>
      </c>
      <c r="J74" t="str">
        <f>CONCATENATE(Table1[[#This Row],[Last_Name]]," "," ",Table1[[#This Row],[First_Name]])</f>
        <v>Gonzalez  James</v>
      </c>
      <c r="K74">
        <f ca="1">DATEDIF(Table1[[#This Row],[Hire Date]],TODAY(),"Y")</f>
        <v>3</v>
      </c>
      <c r="L74" t="str" cm="1">
        <f t="array" ref="L74">_xlfn.IFS(Table1[[#This Row],[Perf_Score]]&gt;=95,"Outstanding",Table1[[#This Row],[Perf_Score]]&gt;=85,"Exceeding",Table1[[#This Row],[Perf_Score]]&gt;=70,"Achieving",Table1[[#This Row],[Perf_Score]]&gt;=50,"Developing",Table1[[#This Row],[Perf_Score]]&gt;=0,"Needs Improvement")</f>
        <v>Developing</v>
      </c>
      <c r="M74" s="14" cm="1">
        <f t="array" ref="M74">_xlfn.IFS(Table1[[#This Row],[Perf_Score]]&gt;=95,0.12,Table1[[#This Row],[Perf_Score]]&gt;=85,0.08,Table1[[#This Row],[Perf_Score]]&gt;=70,0.05,Table1[[#This Row],[Perf_Score]]&gt;=50,0.02,Table1[[#This Row],[Perf_Score]]&gt;=0,0)</f>
        <v>0.02</v>
      </c>
    </row>
    <row r="75" spans="1:13" x14ac:dyDescent="0.25">
      <c r="A75" t="s">
        <v>117</v>
      </c>
      <c r="B75" t="s">
        <v>41</v>
      </c>
      <c r="C75" t="s">
        <v>17</v>
      </c>
      <c r="D75" t="s">
        <v>36</v>
      </c>
      <c r="E75" s="7">
        <v>42249</v>
      </c>
      <c r="F75" s="5">
        <v>83126</v>
      </c>
      <c r="G75">
        <v>67</v>
      </c>
      <c r="H75" t="str">
        <f ca="1">TRIM(PROPER(Table1[[#This Row],[Employment Status]]))</f>
        <v>Active</v>
      </c>
      <c r="I75" t="str">
        <f>VLOOKUP(Table1[[#This Row],[Dept Code]],Lookup_Departments!$A$2:$B$7,2,FALSE)</f>
        <v>Sales</v>
      </c>
      <c r="J75" t="str">
        <f>CONCATENATE(Table1[[#This Row],[Last_Name]]," "," ",Table1[[#This Row],[First_Name]])</f>
        <v>Gonzalez  Jane</v>
      </c>
      <c r="K75">
        <f ca="1">DATEDIF(Table1[[#This Row],[Hire Date]],TODAY(),"Y")</f>
        <v>10</v>
      </c>
      <c r="L75" t="str" cm="1">
        <f t="array" ref="L75">_xlfn.IFS(Table1[[#This Row],[Perf_Score]]&gt;=95,"Outstanding",Table1[[#This Row],[Perf_Score]]&gt;=85,"Exceeding",Table1[[#This Row],[Perf_Score]]&gt;=70,"Achieving",Table1[[#This Row],[Perf_Score]]&gt;=50,"Developing",Table1[[#This Row],[Perf_Score]]&gt;=0,"Needs Improvement")</f>
        <v>Developing</v>
      </c>
      <c r="M75" s="14" cm="1">
        <f t="array" ref="M75">_xlfn.IFS(Table1[[#This Row],[Perf_Score]]&gt;=95,0.12,Table1[[#This Row],[Perf_Score]]&gt;=85,0.08,Table1[[#This Row],[Perf_Score]]&gt;=70,0.05,Table1[[#This Row],[Perf_Score]]&gt;=50,0.02,Table1[[#This Row],[Perf_Score]]&gt;=0,0)</f>
        <v>0.02</v>
      </c>
    </row>
    <row r="76" spans="1:13" x14ac:dyDescent="0.25">
      <c r="A76" t="s">
        <v>118</v>
      </c>
      <c r="B76" t="s">
        <v>82</v>
      </c>
      <c r="C76" t="s">
        <v>29</v>
      </c>
      <c r="D76" t="s">
        <v>27</v>
      </c>
      <c r="E76" s="7">
        <v>42654</v>
      </c>
      <c r="F76" s="5">
        <v>48823</v>
      </c>
      <c r="G76">
        <v>34</v>
      </c>
      <c r="H76" t="str">
        <f ca="1">TRIM(PROPER(Table1[[#This Row],[Employment Status]]))</f>
        <v>Active</v>
      </c>
      <c r="I76" t="str">
        <f>VLOOKUP(Table1[[#This Row],[Dept Code]],Lookup_Departments!$A$2:$B$7,2,FALSE)</f>
        <v>Operations</v>
      </c>
      <c r="J76" t="str">
        <f>CONCATENATE(Table1[[#This Row],[Last_Name]]," "," ",Table1[[#This Row],[First_Name]])</f>
        <v>Wilson  David</v>
      </c>
      <c r="K76">
        <f ca="1">DATEDIF(Table1[[#This Row],[Hire Date]],TODAY(),"Y")</f>
        <v>9</v>
      </c>
      <c r="L76" t="str" cm="1">
        <f t="array" ref="L76">_xlfn.IFS(Table1[[#This Row],[Perf_Score]]&gt;=95,"Outstanding",Table1[[#This Row],[Perf_Score]]&gt;=85,"Exceeding",Table1[[#This Row],[Perf_Score]]&gt;=70,"Achieving",Table1[[#This Row],[Perf_Score]]&gt;=50,"Developing",Table1[[#This Row],[Perf_Score]]&gt;=0,"Needs Improvement")</f>
        <v>Needs Improvement</v>
      </c>
      <c r="M76" s="14" cm="1">
        <f t="array" ref="M76">_xlfn.IFS(Table1[[#This Row],[Perf_Score]]&gt;=95,0.12,Table1[[#This Row],[Perf_Score]]&gt;=85,0.08,Table1[[#This Row],[Perf_Score]]&gt;=70,0.05,Table1[[#This Row],[Perf_Score]]&gt;=50,0.02,Table1[[#This Row],[Perf_Score]]&gt;=0,0)</f>
        <v>0</v>
      </c>
    </row>
    <row r="77" spans="1:13" x14ac:dyDescent="0.25">
      <c r="A77" t="s">
        <v>119</v>
      </c>
      <c r="B77" t="s">
        <v>41</v>
      </c>
      <c r="C77" t="s">
        <v>17</v>
      </c>
      <c r="D77" t="s">
        <v>21</v>
      </c>
      <c r="E77" s="7">
        <v>43575</v>
      </c>
      <c r="F77" s="5">
        <v>45196</v>
      </c>
      <c r="G77">
        <v>78</v>
      </c>
      <c r="H77" t="str">
        <f ca="1">TRIM(PROPER(Table1[[#This Row],[Employment Status]]))</f>
        <v>Left</v>
      </c>
      <c r="I77" t="str">
        <f>VLOOKUP(Table1[[#This Row],[Dept Code]],Lookup_Departments!$A$2:$B$7,2,FALSE)</f>
        <v>Finance</v>
      </c>
      <c r="J77" t="str">
        <f>CONCATENATE(Table1[[#This Row],[Last_Name]]," "," ",Table1[[#This Row],[First_Name]])</f>
        <v>Gonzalez  Jane</v>
      </c>
      <c r="K77">
        <f ca="1">DATEDIF(Table1[[#This Row],[Hire Date]],TODAY(),"Y")</f>
        <v>7</v>
      </c>
      <c r="L77" t="str" cm="1">
        <f t="array" ref="L77">_xlfn.IFS(Table1[[#This Row],[Perf_Score]]&gt;=95,"Outstanding",Table1[[#This Row],[Perf_Score]]&gt;=85,"Exceeding",Table1[[#This Row],[Perf_Score]]&gt;=70,"Achieving",Table1[[#This Row],[Perf_Score]]&gt;=50,"Developing",Table1[[#This Row],[Perf_Score]]&gt;=0,"Needs Improvement")</f>
        <v>Achieving</v>
      </c>
      <c r="M77" s="14" cm="1">
        <f t="array" ref="M77">_xlfn.IFS(Table1[[#This Row],[Perf_Score]]&gt;=95,0.12,Table1[[#This Row],[Perf_Score]]&gt;=85,0.08,Table1[[#This Row],[Perf_Score]]&gt;=70,0.05,Table1[[#This Row],[Perf_Score]]&gt;=50,0.02,Table1[[#This Row],[Perf_Score]]&gt;=0,0)</f>
        <v>0.05</v>
      </c>
    </row>
    <row r="78" spans="1:13" x14ac:dyDescent="0.25">
      <c r="A78" t="s">
        <v>120</v>
      </c>
      <c r="B78" t="s">
        <v>41</v>
      </c>
      <c r="C78" t="s">
        <v>33</v>
      </c>
      <c r="D78" t="s">
        <v>11</v>
      </c>
      <c r="E78" s="7">
        <v>42785</v>
      </c>
      <c r="F78" s="5">
        <v>86246</v>
      </c>
      <c r="G78">
        <v>61</v>
      </c>
      <c r="H78" t="str">
        <f ca="1">TRIM(PROPER(Table1[[#This Row],[Employment Status]]))</f>
        <v>Active</v>
      </c>
      <c r="I78" t="str">
        <f>VLOOKUP(Table1[[#This Row],[Dept Code]],Lookup_Departments!$A$2:$B$7,2,FALSE)</f>
        <v>Information Technology</v>
      </c>
      <c r="J78" t="str">
        <f>CONCATENATE(Table1[[#This Row],[Last_Name]]," "," ",Table1[[#This Row],[First_Name]])</f>
        <v>Rodriguez  Jane</v>
      </c>
      <c r="K78">
        <f ca="1">DATEDIF(Table1[[#This Row],[Hire Date]],TODAY(),"Y")</f>
        <v>9</v>
      </c>
      <c r="L78" t="str" cm="1">
        <f t="array" ref="L78">_xlfn.IFS(Table1[[#This Row],[Perf_Score]]&gt;=95,"Outstanding",Table1[[#This Row],[Perf_Score]]&gt;=85,"Exceeding",Table1[[#This Row],[Perf_Score]]&gt;=70,"Achieving",Table1[[#This Row],[Perf_Score]]&gt;=50,"Developing",Table1[[#This Row],[Perf_Score]]&gt;=0,"Needs Improvement")</f>
        <v>Developing</v>
      </c>
      <c r="M78" s="14" cm="1">
        <f t="array" ref="M78">_xlfn.IFS(Table1[[#This Row],[Perf_Score]]&gt;=95,0.12,Table1[[#This Row],[Perf_Score]]&gt;=85,0.08,Table1[[#This Row],[Perf_Score]]&gt;=70,0.05,Table1[[#This Row],[Perf_Score]]&gt;=50,0.02,Table1[[#This Row],[Perf_Score]]&gt;=0,0)</f>
        <v>0.02</v>
      </c>
    </row>
    <row r="79" spans="1:13" x14ac:dyDescent="0.25">
      <c r="A79" t="s">
        <v>121</v>
      </c>
      <c r="B79" t="s">
        <v>9</v>
      </c>
      <c r="C79" t="s">
        <v>38</v>
      </c>
      <c r="D79" t="s">
        <v>36</v>
      </c>
      <c r="E79" s="7">
        <v>44446</v>
      </c>
      <c r="F79" s="5">
        <v>70359</v>
      </c>
      <c r="G79">
        <v>74</v>
      </c>
      <c r="H79" t="str">
        <f ca="1">TRIM(PROPER(Table1[[#This Row],[Employment Status]]))</f>
        <v>Left</v>
      </c>
      <c r="I79" t="str">
        <f>VLOOKUP(Table1[[#This Row],[Dept Code]],Lookup_Departments!$A$2:$B$7,2,FALSE)</f>
        <v>Sales</v>
      </c>
      <c r="J79" t="str">
        <f>CONCATENATE(Table1[[#This Row],[Last_Name]]," "," ",Table1[[#This Row],[First_Name]])</f>
        <v>Miller  Emily</v>
      </c>
      <c r="K79">
        <f ca="1">DATEDIF(Table1[[#This Row],[Hire Date]],TODAY(),"Y")</f>
        <v>4</v>
      </c>
      <c r="L79" t="str" cm="1">
        <f t="array" ref="L79">_xlfn.IFS(Table1[[#This Row],[Perf_Score]]&gt;=95,"Outstanding",Table1[[#This Row],[Perf_Score]]&gt;=85,"Exceeding",Table1[[#This Row],[Perf_Score]]&gt;=70,"Achieving",Table1[[#This Row],[Perf_Score]]&gt;=50,"Developing",Table1[[#This Row],[Perf_Score]]&gt;=0,"Needs Improvement")</f>
        <v>Achieving</v>
      </c>
      <c r="M79" s="14" cm="1">
        <f t="array" ref="M79">_xlfn.IFS(Table1[[#This Row],[Perf_Score]]&gt;=95,0.12,Table1[[#This Row],[Perf_Score]]&gt;=85,0.08,Table1[[#This Row],[Perf_Score]]&gt;=70,0.05,Table1[[#This Row],[Perf_Score]]&gt;=50,0.02,Table1[[#This Row],[Perf_Score]]&gt;=0,0)</f>
        <v>0.05</v>
      </c>
    </row>
    <row r="80" spans="1:13" x14ac:dyDescent="0.25">
      <c r="A80" t="s">
        <v>122</v>
      </c>
      <c r="B80" t="s">
        <v>70</v>
      </c>
      <c r="C80" t="s">
        <v>38</v>
      </c>
      <c r="D80" t="s">
        <v>15</v>
      </c>
      <c r="E80" s="7">
        <v>43599</v>
      </c>
      <c r="F80" s="5">
        <v>83582</v>
      </c>
      <c r="G80">
        <v>94</v>
      </c>
      <c r="H80" t="str">
        <f ca="1">TRIM(PROPER(Table1[[#This Row],[Employment Status]]))</f>
        <v>Active</v>
      </c>
      <c r="I80" t="str">
        <f>VLOOKUP(Table1[[#This Row],[Dept Code]],Lookup_Departments!$A$2:$B$7,2,FALSE)</f>
        <v>Marketing</v>
      </c>
      <c r="J80" t="str">
        <f>CONCATENATE(Table1[[#This Row],[Last_Name]]," "," ",Table1[[#This Row],[First_Name]])</f>
        <v>Miller  Sarah</v>
      </c>
      <c r="K80">
        <f ca="1">DATEDIF(Table1[[#This Row],[Hire Date]],TODAY(),"Y")</f>
        <v>7</v>
      </c>
      <c r="L80" t="str" cm="1">
        <f t="array" ref="L80">_xlfn.IFS(Table1[[#This Row],[Perf_Score]]&gt;=95,"Outstanding",Table1[[#This Row],[Perf_Score]]&gt;=85,"Exceeding",Table1[[#This Row],[Perf_Score]]&gt;=70,"Achieving",Table1[[#This Row],[Perf_Score]]&gt;=50,"Developing",Table1[[#This Row],[Perf_Score]]&gt;=0,"Needs Improvement")</f>
        <v>Exceeding</v>
      </c>
      <c r="M80" s="14" cm="1">
        <f t="array" ref="M80">_xlfn.IFS(Table1[[#This Row],[Perf_Score]]&gt;=95,0.12,Table1[[#This Row],[Perf_Score]]&gt;=85,0.08,Table1[[#This Row],[Perf_Score]]&gt;=70,0.05,Table1[[#This Row],[Perf_Score]]&gt;=50,0.02,Table1[[#This Row],[Perf_Score]]&gt;=0,0)</f>
        <v>0.08</v>
      </c>
    </row>
    <row r="81" spans="1:13" x14ac:dyDescent="0.25">
      <c r="A81" t="s">
        <v>123</v>
      </c>
      <c r="B81" t="s">
        <v>31</v>
      </c>
      <c r="C81" t="s">
        <v>96</v>
      </c>
      <c r="D81" t="s">
        <v>27</v>
      </c>
      <c r="E81" s="7">
        <v>42330</v>
      </c>
      <c r="F81" s="5">
        <v>86480</v>
      </c>
      <c r="G81">
        <v>68</v>
      </c>
      <c r="H81" t="str">
        <f ca="1">TRIM(PROPER(Table1[[#This Row],[Employment Status]]))</f>
        <v>Active</v>
      </c>
      <c r="I81" t="str">
        <f>VLOOKUP(Table1[[#This Row],[Dept Code]],Lookup_Departments!$A$2:$B$7,2,FALSE)</f>
        <v>Operations</v>
      </c>
      <c r="J81" t="str">
        <f>CONCATENATE(Table1[[#This Row],[Last_Name]]," "," ",Table1[[#This Row],[First_Name]])</f>
        <v>Garcia  Jessica</v>
      </c>
      <c r="K81">
        <f ca="1">DATEDIF(Table1[[#This Row],[Hire Date]],TODAY(),"Y")</f>
        <v>10</v>
      </c>
      <c r="L81" t="str" cm="1">
        <f t="array" ref="L81">_xlfn.IFS(Table1[[#This Row],[Perf_Score]]&gt;=95,"Outstanding",Table1[[#This Row],[Perf_Score]]&gt;=85,"Exceeding",Table1[[#This Row],[Perf_Score]]&gt;=70,"Achieving",Table1[[#This Row],[Perf_Score]]&gt;=50,"Developing",Table1[[#This Row],[Perf_Score]]&gt;=0,"Needs Improvement")</f>
        <v>Developing</v>
      </c>
      <c r="M81" s="14" cm="1">
        <f t="array" ref="M81">_xlfn.IFS(Table1[[#This Row],[Perf_Score]]&gt;=95,0.12,Table1[[#This Row],[Perf_Score]]&gt;=85,0.08,Table1[[#This Row],[Perf_Score]]&gt;=70,0.05,Table1[[#This Row],[Perf_Score]]&gt;=50,0.02,Table1[[#This Row],[Perf_Score]]&gt;=0,0)</f>
        <v>0.02</v>
      </c>
    </row>
    <row r="82" spans="1:13" x14ac:dyDescent="0.25">
      <c r="A82" t="s">
        <v>124</v>
      </c>
      <c r="B82" t="s">
        <v>13</v>
      </c>
      <c r="C82" t="s">
        <v>24</v>
      </c>
      <c r="D82" t="s">
        <v>72</v>
      </c>
      <c r="E82" s="7">
        <v>43372</v>
      </c>
      <c r="F82" s="5">
        <v>47694</v>
      </c>
      <c r="G82">
        <v>75</v>
      </c>
      <c r="H82" t="str">
        <f ca="1">TRIM(PROPER(Table1[[#This Row],[Employment Status]]))</f>
        <v>Active</v>
      </c>
      <c r="I82" t="str">
        <f>VLOOKUP(Table1[[#This Row],[Dept Code]],Lookup_Departments!$A$2:$B$7,2,FALSE)</f>
        <v>Human Resources</v>
      </c>
      <c r="J82" t="str">
        <f>CONCATENATE(Table1[[#This Row],[Last_Name]]," "," ",Table1[[#This Row],[First_Name]])</f>
        <v>Smith  Richard</v>
      </c>
      <c r="K82">
        <f ca="1">DATEDIF(Table1[[#This Row],[Hire Date]],TODAY(),"Y")</f>
        <v>7</v>
      </c>
      <c r="L82" t="str" cm="1">
        <f t="array" ref="L82">_xlfn.IFS(Table1[[#This Row],[Perf_Score]]&gt;=95,"Outstanding",Table1[[#This Row],[Perf_Score]]&gt;=85,"Exceeding",Table1[[#This Row],[Perf_Score]]&gt;=70,"Achieving",Table1[[#This Row],[Perf_Score]]&gt;=50,"Developing",Table1[[#This Row],[Perf_Score]]&gt;=0,"Needs Improvement")</f>
        <v>Achieving</v>
      </c>
      <c r="M82" s="14" cm="1">
        <f t="array" ref="M82">_xlfn.IFS(Table1[[#This Row],[Perf_Score]]&gt;=95,0.12,Table1[[#This Row],[Perf_Score]]&gt;=85,0.08,Table1[[#This Row],[Perf_Score]]&gt;=70,0.05,Table1[[#This Row],[Perf_Score]]&gt;=50,0.02,Table1[[#This Row],[Perf_Score]]&gt;=0,0)</f>
        <v>0.05</v>
      </c>
    </row>
    <row r="83" spans="1:13" x14ac:dyDescent="0.25">
      <c r="A83" t="s">
        <v>125</v>
      </c>
      <c r="B83" t="s">
        <v>77</v>
      </c>
      <c r="C83" t="s">
        <v>29</v>
      </c>
      <c r="D83" t="s">
        <v>11</v>
      </c>
      <c r="E83" s="7">
        <v>45171</v>
      </c>
      <c r="F83" s="5">
        <v>83724</v>
      </c>
      <c r="G83">
        <v>81</v>
      </c>
      <c r="H83" t="str">
        <f ca="1">TRIM(PROPER(Table1[[#This Row],[Employment Status]]))</f>
        <v>Resigned</v>
      </c>
      <c r="I83" t="str">
        <f>VLOOKUP(Table1[[#This Row],[Dept Code]],Lookup_Departments!$A$2:$B$7,2,FALSE)</f>
        <v>Information Technology</v>
      </c>
      <c r="J83" t="str">
        <f>CONCATENATE(Table1[[#This Row],[Last_Name]]," "," ",Table1[[#This Row],[First_Name]])</f>
        <v>Wilson  Melissa</v>
      </c>
      <c r="K83">
        <f ca="1">DATEDIF(Table1[[#This Row],[Hire Date]],TODAY(),"Y")</f>
        <v>2</v>
      </c>
      <c r="L83" t="str" cm="1">
        <f t="array" ref="L83">_xlfn.IFS(Table1[[#This Row],[Perf_Score]]&gt;=95,"Outstanding",Table1[[#This Row],[Perf_Score]]&gt;=85,"Exceeding",Table1[[#This Row],[Perf_Score]]&gt;=70,"Achieving",Table1[[#This Row],[Perf_Score]]&gt;=50,"Developing",Table1[[#This Row],[Perf_Score]]&gt;=0,"Needs Improvement")</f>
        <v>Achieving</v>
      </c>
      <c r="M83" s="14" cm="1">
        <f t="array" ref="M83">_xlfn.IFS(Table1[[#This Row],[Perf_Score]]&gt;=95,0.12,Table1[[#This Row],[Perf_Score]]&gt;=85,0.08,Table1[[#This Row],[Perf_Score]]&gt;=70,0.05,Table1[[#This Row],[Perf_Score]]&gt;=50,0.02,Table1[[#This Row],[Perf_Score]]&gt;=0,0)</f>
        <v>0.05</v>
      </c>
    </row>
    <row r="84" spans="1:13" x14ac:dyDescent="0.25">
      <c r="A84" t="s">
        <v>126</v>
      </c>
      <c r="B84" t="s">
        <v>23</v>
      </c>
      <c r="C84" t="s">
        <v>42</v>
      </c>
      <c r="D84" t="s">
        <v>21</v>
      </c>
      <c r="E84" s="7">
        <v>44759</v>
      </c>
      <c r="F84" s="5">
        <v>98299</v>
      </c>
      <c r="G84">
        <v>61</v>
      </c>
      <c r="H84" t="str">
        <f ca="1">TRIM(PROPER(Table1[[#This Row],[Employment Status]]))</f>
        <v>Active</v>
      </c>
      <c r="I84" t="str">
        <f>VLOOKUP(Table1[[#This Row],[Dept Code]],Lookup_Departments!$A$2:$B$7,2,FALSE)</f>
        <v>Finance</v>
      </c>
      <c r="J84" t="str">
        <f>CONCATENATE(Table1[[#This Row],[Last_Name]]," "," ",Table1[[#This Row],[First_Name]])</f>
        <v>Williams  Thomas</v>
      </c>
      <c r="K84">
        <f ca="1">DATEDIF(Table1[[#This Row],[Hire Date]],TODAY(),"Y")</f>
        <v>4</v>
      </c>
      <c r="L84" t="str" cm="1">
        <f t="array" ref="L84">_xlfn.IFS(Table1[[#This Row],[Perf_Score]]&gt;=95,"Outstanding",Table1[[#This Row],[Perf_Score]]&gt;=85,"Exceeding",Table1[[#This Row],[Perf_Score]]&gt;=70,"Achieving",Table1[[#This Row],[Perf_Score]]&gt;=50,"Developing",Table1[[#This Row],[Perf_Score]]&gt;=0,"Needs Improvement")</f>
        <v>Developing</v>
      </c>
      <c r="M84" s="14" cm="1">
        <f t="array" ref="M84">_xlfn.IFS(Table1[[#This Row],[Perf_Score]]&gt;=95,0.12,Table1[[#This Row],[Perf_Score]]&gt;=85,0.08,Table1[[#This Row],[Perf_Score]]&gt;=70,0.05,Table1[[#This Row],[Perf_Score]]&gt;=50,0.02,Table1[[#This Row],[Perf_Score]]&gt;=0,0)</f>
        <v>0.02</v>
      </c>
    </row>
    <row r="85" spans="1:13" x14ac:dyDescent="0.25">
      <c r="A85" t="s">
        <v>127</v>
      </c>
      <c r="B85" t="s">
        <v>82</v>
      </c>
      <c r="C85" t="s">
        <v>42</v>
      </c>
      <c r="D85" t="s">
        <v>21</v>
      </c>
      <c r="E85" s="7">
        <v>44234</v>
      </c>
      <c r="F85" s="5">
        <v>83454</v>
      </c>
      <c r="G85">
        <v>68</v>
      </c>
      <c r="H85" t="str">
        <f ca="1">TRIM(PROPER(Table1[[#This Row],[Employment Status]]))</f>
        <v>Active</v>
      </c>
      <c r="I85" t="str">
        <f>VLOOKUP(Table1[[#This Row],[Dept Code]],Lookup_Departments!$A$2:$B$7,2,FALSE)</f>
        <v>Finance</v>
      </c>
      <c r="J85" t="str">
        <f>CONCATENATE(Table1[[#This Row],[Last_Name]]," "," ",Table1[[#This Row],[First_Name]])</f>
        <v>Williams  David</v>
      </c>
      <c r="K85">
        <f ca="1">DATEDIF(Table1[[#This Row],[Hire Date]],TODAY(),"Y")</f>
        <v>5</v>
      </c>
      <c r="L85" t="str" cm="1">
        <f t="array" ref="L85">_xlfn.IFS(Table1[[#This Row],[Perf_Score]]&gt;=95,"Outstanding",Table1[[#This Row],[Perf_Score]]&gt;=85,"Exceeding",Table1[[#This Row],[Perf_Score]]&gt;=70,"Achieving",Table1[[#This Row],[Perf_Score]]&gt;=50,"Developing",Table1[[#This Row],[Perf_Score]]&gt;=0,"Needs Improvement")</f>
        <v>Developing</v>
      </c>
      <c r="M85" s="14" cm="1">
        <f t="array" ref="M85">_xlfn.IFS(Table1[[#This Row],[Perf_Score]]&gt;=95,0.12,Table1[[#This Row],[Perf_Score]]&gt;=85,0.08,Table1[[#This Row],[Perf_Score]]&gt;=70,0.05,Table1[[#This Row],[Perf_Score]]&gt;=50,0.02,Table1[[#This Row],[Perf_Score]]&gt;=0,0)</f>
        <v>0.02</v>
      </c>
    </row>
    <row r="86" spans="1:13" x14ac:dyDescent="0.25">
      <c r="A86" t="s">
        <v>128</v>
      </c>
      <c r="B86" t="s">
        <v>19</v>
      </c>
      <c r="C86" t="s">
        <v>26</v>
      </c>
      <c r="D86" t="s">
        <v>11</v>
      </c>
      <c r="E86" s="7">
        <v>45203</v>
      </c>
      <c r="F86" s="5">
        <v>52287</v>
      </c>
      <c r="G86">
        <v>70</v>
      </c>
      <c r="H86" t="str">
        <f ca="1">TRIM(PROPER(Table1[[#This Row],[Employment Status]]))</f>
        <v>Active</v>
      </c>
      <c r="I86" t="str">
        <f>VLOOKUP(Table1[[#This Row],[Dept Code]],Lookup_Departments!$A$2:$B$7,2,FALSE)</f>
        <v>Information Technology</v>
      </c>
      <c r="J86" t="str">
        <f>CONCATENATE(Table1[[#This Row],[Last_Name]]," "," ",Table1[[#This Row],[First_Name]])</f>
        <v>Johnson  John</v>
      </c>
      <c r="K86">
        <f ca="1">DATEDIF(Table1[[#This Row],[Hire Date]],TODAY(),"Y")</f>
        <v>2</v>
      </c>
      <c r="L86" t="str" cm="1">
        <f t="array" ref="L86">_xlfn.IFS(Table1[[#This Row],[Perf_Score]]&gt;=95,"Outstanding",Table1[[#This Row],[Perf_Score]]&gt;=85,"Exceeding",Table1[[#This Row],[Perf_Score]]&gt;=70,"Achieving",Table1[[#This Row],[Perf_Score]]&gt;=50,"Developing",Table1[[#This Row],[Perf_Score]]&gt;=0,"Needs Improvement")</f>
        <v>Achieving</v>
      </c>
      <c r="M86" s="14" cm="1">
        <f t="array" ref="M86">_xlfn.IFS(Table1[[#This Row],[Perf_Score]]&gt;=95,0.12,Table1[[#This Row],[Perf_Score]]&gt;=85,0.08,Table1[[#This Row],[Perf_Score]]&gt;=70,0.05,Table1[[#This Row],[Perf_Score]]&gt;=50,0.02,Table1[[#This Row],[Perf_Score]]&gt;=0,0)</f>
        <v>0.05</v>
      </c>
    </row>
    <row r="87" spans="1:13" x14ac:dyDescent="0.25">
      <c r="A87" t="s">
        <v>129</v>
      </c>
      <c r="B87" t="s">
        <v>13</v>
      </c>
      <c r="C87" t="s">
        <v>17</v>
      </c>
      <c r="D87" t="s">
        <v>11</v>
      </c>
      <c r="E87" s="7">
        <v>44073</v>
      </c>
      <c r="F87" s="5">
        <v>82633</v>
      </c>
      <c r="G87">
        <v>98</v>
      </c>
      <c r="H87" t="str">
        <f ca="1">TRIM(PROPER(Table1[[#This Row],[Employment Status]]))</f>
        <v>Active</v>
      </c>
      <c r="I87" t="str">
        <f>VLOOKUP(Table1[[#This Row],[Dept Code]],Lookup_Departments!$A$2:$B$7,2,FALSE)</f>
        <v>Information Technology</v>
      </c>
      <c r="J87" t="str">
        <f>CONCATENATE(Table1[[#This Row],[Last_Name]]," "," ",Table1[[#This Row],[First_Name]])</f>
        <v>Gonzalez  Richard</v>
      </c>
      <c r="K87">
        <f ca="1">DATEDIF(Table1[[#This Row],[Hire Date]],TODAY(),"Y")</f>
        <v>5</v>
      </c>
      <c r="L87" t="str" cm="1">
        <f t="array" ref="L87">_xlfn.IFS(Table1[[#This Row],[Perf_Score]]&gt;=95,"Outstanding",Table1[[#This Row],[Perf_Score]]&gt;=85,"Exceeding",Table1[[#This Row],[Perf_Score]]&gt;=70,"Achieving",Table1[[#This Row],[Perf_Score]]&gt;=50,"Developing",Table1[[#This Row],[Perf_Score]]&gt;=0,"Needs Improvement")</f>
        <v>Outstanding</v>
      </c>
      <c r="M87" s="14" cm="1">
        <f t="array" ref="M87">_xlfn.IFS(Table1[[#This Row],[Perf_Score]]&gt;=95,0.12,Table1[[#This Row],[Perf_Score]]&gt;=85,0.08,Table1[[#This Row],[Perf_Score]]&gt;=70,0.05,Table1[[#This Row],[Perf_Score]]&gt;=50,0.02,Table1[[#This Row],[Perf_Score]]&gt;=0,0)</f>
        <v>0.12</v>
      </c>
    </row>
    <row r="88" spans="1:13" x14ac:dyDescent="0.25">
      <c r="A88" t="s">
        <v>130</v>
      </c>
      <c r="B88" t="s">
        <v>77</v>
      </c>
      <c r="C88" t="s">
        <v>98</v>
      </c>
      <c r="D88" t="s">
        <v>27</v>
      </c>
      <c r="E88" s="7">
        <v>44422</v>
      </c>
      <c r="F88" s="5">
        <v>46508</v>
      </c>
      <c r="G88">
        <v>34</v>
      </c>
      <c r="H88" t="str">
        <f ca="1">TRIM(PROPER(Table1[[#This Row],[Employment Status]]))</f>
        <v>Active</v>
      </c>
      <c r="I88" t="str">
        <f>VLOOKUP(Table1[[#This Row],[Dept Code]],Lookup_Departments!$A$2:$B$7,2,FALSE)</f>
        <v>Operations</v>
      </c>
      <c r="J88" t="str">
        <f>CONCATENATE(Table1[[#This Row],[Last_Name]]," "," ",Table1[[#This Row],[First_Name]])</f>
        <v>Anderson  Melissa</v>
      </c>
      <c r="K88">
        <f ca="1">DATEDIF(Table1[[#This Row],[Hire Date]],TODAY(),"Y")</f>
        <v>4</v>
      </c>
      <c r="L88" t="str" cm="1">
        <f t="array" ref="L88">_xlfn.IFS(Table1[[#This Row],[Perf_Score]]&gt;=95,"Outstanding",Table1[[#This Row],[Perf_Score]]&gt;=85,"Exceeding",Table1[[#This Row],[Perf_Score]]&gt;=70,"Achieving",Table1[[#This Row],[Perf_Score]]&gt;=50,"Developing",Table1[[#This Row],[Perf_Score]]&gt;=0,"Needs Improvement")</f>
        <v>Needs Improvement</v>
      </c>
      <c r="M88" s="14" cm="1">
        <f t="array" ref="M88">_xlfn.IFS(Table1[[#This Row],[Perf_Score]]&gt;=95,0.12,Table1[[#This Row],[Perf_Score]]&gt;=85,0.08,Table1[[#This Row],[Perf_Score]]&gt;=70,0.05,Table1[[#This Row],[Perf_Score]]&gt;=50,0.02,Table1[[#This Row],[Perf_Score]]&gt;=0,0)</f>
        <v>0</v>
      </c>
    </row>
    <row r="89" spans="1:13" x14ac:dyDescent="0.25">
      <c r="A89" t="s">
        <v>131</v>
      </c>
      <c r="B89" t="s">
        <v>9</v>
      </c>
      <c r="C89" t="s">
        <v>17</v>
      </c>
      <c r="D89" t="s">
        <v>72</v>
      </c>
      <c r="E89" s="7">
        <v>43796</v>
      </c>
      <c r="F89" s="5">
        <v>86232</v>
      </c>
      <c r="G89">
        <v>93</v>
      </c>
      <c r="H89" t="str">
        <f ca="1">TRIM(PROPER(Table1[[#This Row],[Employment Status]]))</f>
        <v>Active</v>
      </c>
      <c r="I89" t="str">
        <f>VLOOKUP(Table1[[#This Row],[Dept Code]],Lookup_Departments!$A$2:$B$7,2,FALSE)</f>
        <v>Human Resources</v>
      </c>
      <c r="J89" t="str">
        <f>CONCATENATE(Table1[[#This Row],[Last_Name]]," "," ",Table1[[#This Row],[First_Name]])</f>
        <v>Gonzalez  Emily</v>
      </c>
      <c r="K89">
        <f ca="1">DATEDIF(Table1[[#This Row],[Hire Date]],TODAY(),"Y")</f>
        <v>6</v>
      </c>
      <c r="L89" t="str" cm="1">
        <f t="array" ref="L89">_xlfn.IFS(Table1[[#This Row],[Perf_Score]]&gt;=95,"Outstanding",Table1[[#This Row],[Perf_Score]]&gt;=85,"Exceeding",Table1[[#This Row],[Perf_Score]]&gt;=70,"Achieving",Table1[[#This Row],[Perf_Score]]&gt;=50,"Developing",Table1[[#This Row],[Perf_Score]]&gt;=0,"Needs Improvement")</f>
        <v>Exceeding</v>
      </c>
      <c r="M89" s="14" cm="1">
        <f t="array" ref="M89">_xlfn.IFS(Table1[[#This Row],[Perf_Score]]&gt;=95,0.12,Table1[[#This Row],[Perf_Score]]&gt;=85,0.08,Table1[[#This Row],[Perf_Score]]&gt;=70,0.05,Table1[[#This Row],[Perf_Score]]&gt;=50,0.02,Table1[[#This Row],[Perf_Score]]&gt;=0,0)</f>
        <v>0.08</v>
      </c>
    </row>
    <row r="90" spans="1:13" x14ac:dyDescent="0.25">
      <c r="A90" t="s">
        <v>132</v>
      </c>
      <c r="B90" t="s">
        <v>41</v>
      </c>
      <c r="C90" t="s">
        <v>49</v>
      </c>
      <c r="D90" t="s">
        <v>11</v>
      </c>
      <c r="E90" s="7">
        <v>42880</v>
      </c>
      <c r="F90" s="5">
        <v>77545</v>
      </c>
      <c r="G90">
        <v>48</v>
      </c>
      <c r="H90" t="str">
        <f ca="1">TRIM(PROPER(Table1[[#This Row],[Employment Status]]))</f>
        <v>Active</v>
      </c>
      <c r="I90" t="str">
        <f>VLOOKUP(Table1[[#This Row],[Dept Code]],Lookup_Departments!$A$2:$B$7,2,FALSE)</f>
        <v>Information Technology</v>
      </c>
      <c r="J90" t="str">
        <f>CONCATENATE(Table1[[#This Row],[Last_Name]]," "," ",Table1[[#This Row],[First_Name]])</f>
        <v>Davis  Jane</v>
      </c>
      <c r="K90">
        <f ca="1">DATEDIF(Table1[[#This Row],[Hire Date]],TODAY(),"Y")</f>
        <v>9</v>
      </c>
      <c r="L90" t="str" cm="1">
        <f t="array" ref="L90">_xlfn.IFS(Table1[[#This Row],[Perf_Score]]&gt;=95,"Outstanding",Table1[[#This Row],[Perf_Score]]&gt;=85,"Exceeding",Table1[[#This Row],[Perf_Score]]&gt;=70,"Achieving",Table1[[#This Row],[Perf_Score]]&gt;=50,"Developing",Table1[[#This Row],[Perf_Score]]&gt;=0,"Needs Improvement")</f>
        <v>Needs Improvement</v>
      </c>
      <c r="M90" s="14" cm="1">
        <f t="array" ref="M90">_xlfn.IFS(Table1[[#This Row],[Perf_Score]]&gt;=95,0.12,Table1[[#This Row],[Perf_Score]]&gt;=85,0.08,Table1[[#This Row],[Perf_Score]]&gt;=70,0.05,Table1[[#This Row],[Perf_Score]]&gt;=50,0.02,Table1[[#This Row],[Perf_Score]]&gt;=0,0)</f>
        <v>0</v>
      </c>
    </row>
    <row r="91" spans="1:13" x14ac:dyDescent="0.25">
      <c r="A91" t="s">
        <v>133</v>
      </c>
      <c r="B91" t="s">
        <v>114</v>
      </c>
      <c r="C91" t="s">
        <v>17</v>
      </c>
      <c r="D91" t="s">
        <v>27</v>
      </c>
      <c r="E91" s="7">
        <v>43436</v>
      </c>
      <c r="F91" s="5">
        <v>68683</v>
      </c>
      <c r="G91">
        <v>90</v>
      </c>
      <c r="H91" t="str">
        <f ca="1">TRIM(PROPER(Table1[[#This Row],[Employment Status]]))</f>
        <v>Active</v>
      </c>
      <c r="I91" t="str">
        <f>VLOOKUP(Table1[[#This Row],[Dept Code]],Lookup_Departments!$A$2:$B$7,2,FALSE)</f>
        <v>Operations</v>
      </c>
      <c r="J91" t="str">
        <f>CONCATENATE(Table1[[#This Row],[Last_Name]]," "," ",Table1[[#This Row],[First_Name]])</f>
        <v>Gonzalez  William</v>
      </c>
      <c r="K91">
        <f ca="1">DATEDIF(Table1[[#This Row],[Hire Date]],TODAY(),"Y")</f>
        <v>7</v>
      </c>
      <c r="L91" t="str" cm="1">
        <f t="array" ref="L91">_xlfn.IFS(Table1[[#This Row],[Perf_Score]]&gt;=95,"Outstanding",Table1[[#This Row],[Perf_Score]]&gt;=85,"Exceeding",Table1[[#This Row],[Perf_Score]]&gt;=70,"Achieving",Table1[[#This Row],[Perf_Score]]&gt;=50,"Developing",Table1[[#This Row],[Perf_Score]]&gt;=0,"Needs Improvement")</f>
        <v>Exceeding</v>
      </c>
      <c r="M91" s="14" cm="1">
        <f t="array" ref="M91">_xlfn.IFS(Table1[[#This Row],[Perf_Score]]&gt;=95,0.12,Table1[[#This Row],[Perf_Score]]&gt;=85,0.08,Table1[[#This Row],[Perf_Score]]&gt;=70,0.05,Table1[[#This Row],[Perf_Score]]&gt;=50,0.02,Table1[[#This Row],[Perf_Score]]&gt;=0,0)</f>
        <v>0.08</v>
      </c>
    </row>
    <row r="92" spans="1:13" x14ac:dyDescent="0.25">
      <c r="A92" t="s">
        <v>134</v>
      </c>
      <c r="B92" t="s">
        <v>23</v>
      </c>
      <c r="C92" t="s">
        <v>46</v>
      </c>
      <c r="D92" t="s">
        <v>21</v>
      </c>
      <c r="E92" s="7">
        <v>43639</v>
      </c>
      <c r="F92" s="5">
        <v>83932</v>
      </c>
      <c r="G92">
        <v>57</v>
      </c>
      <c r="H92" t="str">
        <f ca="1">TRIM(PROPER(Table1[[#This Row],[Employment Status]]))</f>
        <v>Left</v>
      </c>
      <c r="I92" t="str">
        <f>VLOOKUP(Table1[[#This Row],[Dept Code]],Lookup_Departments!$A$2:$B$7,2,FALSE)</f>
        <v>Finance</v>
      </c>
      <c r="J92" t="str">
        <f>CONCATENATE(Table1[[#This Row],[Last_Name]]," "," ",Table1[[#This Row],[First_Name]])</f>
        <v>Jones  Thomas</v>
      </c>
      <c r="K92">
        <f ca="1">DATEDIF(Table1[[#This Row],[Hire Date]],TODAY(),"Y")</f>
        <v>7</v>
      </c>
      <c r="L92" t="str" cm="1">
        <f t="array" ref="L92">_xlfn.IFS(Table1[[#This Row],[Perf_Score]]&gt;=95,"Outstanding",Table1[[#This Row],[Perf_Score]]&gt;=85,"Exceeding",Table1[[#This Row],[Perf_Score]]&gt;=70,"Achieving",Table1[[#This Row],[Perf_Score]]&gt;=50,"Developing",Table1[[#This Row],[Perf_Score]]&gt;=0,"Needs Improvement")</f>
        <v>Developing</v>
      </c>
      <c r="M92" s="14" cm="1">
        <f t="array" ref="M92">_xlfn.IFS(Table1[[#This Row],[Perf_Score]]&gt;=95,0.12,Table1[[#This Row],[Perf_Score]]&gt;=85,0.08,Table1[[#This Row],[Perf_Score]]&gt;=70,0.05,Table1[[#This Row],[Perf_Score]]&gt;=50,0.02,Table1[[#This Row],[Perf_Score]]&gt;=0,0)</f>
        <v>0.02</v>
      </c>
    </row>
    <row r="93" spans="1:13" x14ac:dyDescent="0.25">
      <c r="A93" t="s">
        <v>135</v>
      </c>
      <c r="B93" t="s">
        <v>31</v>
      </c>
      <c r="C93" t="s">
        <v>98</v>
      </c>
      <c r="D93" t="s">
        <v>72</v>
      </c>
      <c r="E93" s="7">
        <v>42304</v>
      </c>
      <c r="F93" s="5">
        <v>56073</v>
      </c>
      <c r="G93">
        <v>79</v>
      </c>
      <c r="H93" t="str">
        <f ca="1">TRIM(PROPER(Table1[[#This Row],[Employment Status]]))</f>
        <v>Active</v>
      </c>
      <c r="I93" t="str">
        <f>VLOOKUP(Table1[[#This Row],[Dept Code]],Lookup_Departments!$A$2:$B$7,2,FALSE)</f>
        <v>Human Resources</v>
      </c>
      <c r="J93" t="str">
        <f>CONCATENATE(Table1[[#This Row],[Last_Name]]," "," ",Table1[[#This Row],[First_Name]])</f>
        <v>Anderson  Jessica</v>
      </c>
      <c r="K93">
        <f ca="1">DATEDIF(Table1[[#This Row],[Hire Date]],TODAY(),"Y")</f>
        <v>10</v>
      </c>
      <c r="L93" t="str" cm="1">
        <f t="array" ref="L93">_xlfn.IFS(Table1[[#This Row],[Perf_Score]]&gt;=95,"Outstanding",Table1[[#This Row],[Perf_Score]]&gt;=85,"Exceeding",Table1[[#This Row],[Perf_Score]]&gt;=70,"Achieving",Table1[[#This Row],[Perf_Score]]&gt;=50,"Developing",Table1[[#This Row],[Perf_Score]]&gt;=0,"Needs Improvement")</f>
        <v>Achieving</v>
      </c>
      <c r="M93" s="14" cm="1">
        <f t="array" ref="M93">_xlfn.IFS(Table1[[#This Row],[Perf_Score]]&gt;=95,0.12,Table1[[#This Row],[Perf_Score]]&gt;=85,0.08,Table1[[#This Row],[Perf_Score]]&gt;=70,0.05,Table1[[#This Row],[Perf_Score]]&gt;=50,0.02,Table1[[#This Row],[Perf_Score]]&gt;=0,0)</f>
        <v>0.05</v>
      </c>
    </row>
    <row r="94" spans="1:13" x14ac:dyDescent="0.25">
      <c r="A94" t="s">
        <v>136</v>
      </c>
      <c r="B94" t="s">
        <v>77</v>
      </c>
      <c r="C94" t="s">
        <v>26</v>
      </c>
      <c r="D94" t="s">
        <v>11</v>
      </c>
      <c r="E94" s="7">
        <v>43270</v>
      </c>
      <c r="F94" s="5">
        <v>88056</v>
      </c>
      <c r="G94">
        <v>66</v>
      </c>
      <c r="H94" t="str">
        <f ca="1">TRIM(PROPER(Table1[[#This Row],[Employment Status]]))</f>
        <v>Active</v>
      </c>
      <c r="I94" t="str">
        <f>VLOOKUP(Table1[[#This Row],[Dept Code]],Lookup_Departments!$A$2:$B$7,2,FALSE)</f>
        <v>Information Technology</v>
      </c>
      <c r="J94" t="str">
        <f>CONCATENATE(Table1[[#This Row],[Last_Name]]," "," ",Table1[[#This Row],[First_Name]])</f>
        <v>Johnson  Melissa</v>
      </c>
      <c r="K94">
        <f ca="1">DATEDIF(Table1[[#This Row],[Hire Date]],TODAY(),"Y")</f>
        <v>8</v>
      </c>
      <c r="L94" t="str" cm="1">
        <f t="array" ref="L94">_xlfn.IFS(Table1[[#This Row],[Perf_Score]]&gt;=95,"Outstanding",Table1[[#This Row],[Perf_Score]]&gt;=85,"Exceeding",Table1[[#This Row],[Perf_Score]]&gt;=70,"Achieving",Table1[[#This Row],[Perf_Score]]&gt;=50,"Developing",Table1[[#This Row],[Perf_Score]]&gt;=0,"Needs Improvement")</f>
        <v>Developing</v>
      </c>
      <c r="M94" s="14" cm="1">
        <f t="array" ref="M94">_xlfn.IFS(Table1[[#This Row],[Perf_Score]]&gt;=95,0.12,Table1[[#This Row],[Perf_Score]]&gt;=85,0.08,Table1[[#This Row],[Perf_Score]]&gt;=70,0.05,Table1[[#This Row],[Perf_Score]]&gt;=50,0.02,Table1[[#This Row],[Perf_Score]]&gt;=0,0)</f>
        <v>0.02</v>
      </c>
    </row>
    <row r="95" spans="1:13" x14ac:dyDescent="0.25">
      <c r="A95" t="s">
        <v>137</v>
      </c>
      <c r="B95" t="s">
        <v>23</v>
      </c>
      <c r="C95" t="s">
        <v>38</v>
      </c>
      <c r="D95" t="s">
        <v>27</v>
      </c>
      <c r="E95" s="7">
        <v>43112</v>
      </c>
      <c r="F95" s="5">
        <v>67414</v>
      </c>
      <c r="G95">
        <v>84</v>
      </c>
      <c r="H95" t="str">
        <f ca="1">TRIM(PROPER(Table1[[#This Row],[Employment Status]]))</f>
        <v>Left</v>
      </c>
      <c r="I95" t="str">
        <f>VLOOKUP(Table1[[#This Row],[Dept Code]],Lookup_Departments!$A$2:$B$7,2,FALSE)</f>
        <v>Operations</v>
      </c>
      <c r="J95" t="str">
        <f>CONCATENATE(Table1[[#This Row],[Last_Name]]," "," ",Table1[[#This Row],[First_Name]])</f>
        <v>Miller  Thomas</v>
      </c>
      <c r="K95">
        <f ca="1">DATEDIF(Table1[[#This Row],[Hire Date]],TODAY(),"Y")</f>
        <v>8</v>
      </c>
      <c r="L95" t="str" cm="1">
        <f t="array" ref="L95">_xlfn.IFS(Table1[[#This Row],[Perf_Score]]&gt;=95,"Outstanding",Table1[[#This Row],[Perf_Score]]&gt;=85,"Exceeding",Table1[[#This Row],[Perf_Score]]&gt;=70,"Achieving",Table1[[#This Row],[Perf_Score]]&gt;=50,"Developing",Table1[[#This Row],[Perf_Score]]&gt;=0,"Needs Improvement")</f>
        <v>Achieving</v>
      </c>
      <c r="M95" s="14" cm="1">
        <f t="array" ref="M95">_xlfn.IFS(Table1[[#This Row],[Perf_Score]]&gt;=95,0.12,Table1[[#This Row],[Perf_Score]]&gt;=85,0.08,Table1[[#This Row],[Perf_Score]]&gt;=70,0.05,Table1[[#This Row],[Perf_Score]]&gt;=50,0.02,Table1[[#This Row],[Perf_Score]]&gt;=0,0)</f>
        <v>0.05</v>
      </c>
    </row>
    <row r="96" spans="1:13" x14ac:dyDescent="0.25">
      <c r="A96" t="s">
        <v>138</v>
      </c>
      <c r="B96" t="s">
        <v>114</v>
      </c>
      <c r="C96" t="s">
        <v>17</v>
      </c>
      <c r="D96" t="s">
        <v>36</v>
      </c>
      <c r="E96" s="7">
        <v>42008</v>
      </c>
      <c r="F96" s="5">
        <v>115288</v>
      </c>
      <c r="G96">
        <v>61</v>
      </c>
      <c r="H96" t="str">
        <f ca="1">TRIM(PROPER(Table1[[#This Row],[Employment Status]]))</f>
        <v>Active</v>
      </c>
      <c r="I96" t="str">
        <f>VLOOKUP(Table1[[#This Row],[Dept Code]],Lookup_Departments!$A$2:$B$7,2,FALSE)</f>
        <v>Sales</v>
      </c>
      <c r="J96" t="str">
        <f>CONCATENATE(Table1[[#This Row],[Last_Name]]," "," ",Table1[[#This Row],[First_Name]])</f>
        <v>Gonzalez  William</v>
      </c>
      <c r="K96">
        <f ca="1">DATEDIF(Table1[[#This Row],[Hire Date]],TODAY(),"Y")</f>
        <v>11</v>
      </c>
      <c r="L96" t="str" cm="1">
        <f t="array" ref="L96">_xlfn.IFS(Table1[[#This Row],[Perf_Score]]&gt;=95,"Outstanding",Table1[[#This Row],[Perf_Score]]&gt;=85,"Exceeding",Table1[[#This Row],[Perf_Score]]&gt;=70,"Achieving",Table1[[#This Row],[Perf_Score]]&gt;=50,"Developing",Table1[[#This Row],[Perf_Score]]&gt;=0,"Needs Improvement")</f>
        <v>Developing</v>
      </c>
      <c r="M96" s="14" cm="1">
        <f t="array" ref="M96">_xlfn.IFS(Table1[[#This Row],[Perf_Score]]&gt;=95,0.12,Table1[[#This Row],[Perf_Score]]&gt;=85,0.08,Table1[[#This Row],[Perf_Score]]&gt;=70,0.05,Table1[[#This Row],[Perf_Score]]&gt;=50,0.02,Table1[[#This Row],[Perf_Score]]&gt;=0,0)</f>
        <v>0.02</v>
      </c>
    </row>
    <row r="97" spans="1:13" x14ac:dyDescent="0.25">
      <c r="A97" t="s">
        <v>139</v>
      </c>
      <c r="B97" t="s">
        <v>114</v>
      </c>
      <c r="C97" t="s">
        <v>24</v>
      </c>
      <c r="D97" t="s">
        <v>36</v>
      </c>
      <c r="E97" s="7">
        <v>43439</v>
      </c>
      <c r="F97" s="5">
        <v>80140</v>
      </c>
      <c r="G97">
        <v>58</v>
      </c>
      <c r="H97" t="str">
        <f ca="1">TRIM(PROPER(Table1[[#This Row],[Employment Status]]))</f>
        <v>Active</v>
      </c>
      <c r="I97" t="str">
        <f>VLOOKUP(Table1[[#This Row],[Dept Code]],Lookup_Departments!$A$2:$B$7,2,FALSE)</f>
        <v>Sales</v>
      </c>
      <c r="J97" t="str">
        <f>CONCATENATE(Table1[[#This Row],[Last_Name]]," "," ",Table1[[#This Row],[First_Name]])</f>
        <v>Smith  William</v>
      </c>
      <c r="K97">
        <f ca="1">DATEDIF(Table1[[#This Row],[Hire Date]],TODAY(),"Y")</f>
        <v>7</v>
      </c>
      <c r="L97" t="str" cm="1">
        <f t="array" ref="L97">_xlfn.IFS(Table1[[#This Row],[Perf_Score]]&gt;=95,"Outstanding",Table1[[#This Row],[Perf_Score]]&gt;=85,"Exceeding",Table1[[#This Row],[Perf_Score]]&gt;=70,"Achieving",Table1[[#This Row],[Perf_Score]]&gt;=50,"Developing",Table1[[#This Row],[Perf_Score]]&gt;=0,"Needs Improvement")</f>
        <v>Developing</v>
      </c>
      <c r="M97" s="14" cm="1">
        <f t="array" ref="M97">_xlfn.IFS(Table1[[#This Row],[Perf_Score]]&gt;=95,0.12,Table1[[#This Row],[Perf_Score]]&gt;=85,0.08,Table1[[#This Row],[Perf_Score]]&gt;=70,0.05,Table1[[#This Row],[Perf_Score]]&gt;=50,0.02,Table1[[#This Row],[Perf_Score]]&gt;=0,0)</f>
        <v>0.02</v>
      </c>
    </row>
    <row r="98" spans="1:13" x14ac:dyDescent="0.25">
      <c r="A98" t="s">
        <v>140</v>
      </c>
      <c r="B98" t="s">
        <v>19</v>
      </c>
      <c r="C98" t="s">
        <v>26</v>
      </c>
      <c r="D98" t="s">
        <v>11</v>
      </c>
      <c r="E98" s="7">
        <v>44482</v>
      </c>
      <c r="F98" s="5">
        <v>73087</v>
      </c>
      <c r="G98">
        <v>69</v>
      </c>
      <c r="H98" t="str">
        <f ca="1">TRIM(PROPER(Table1[[#This Row],[Employment Status]]))</f>
        <v>Active</v>
      </c>
      <c r="I98" t="str">
        <f>VLOOKUP(Table1[[#This Row],[Dept Code]],Lookup_Departments!$A$2:$B$7,2,FALSE)</f>
        <v>Information Technology</v>
      </c>
      <c r="J98" t="str">
        <f>CONCATENATE(Table1[[#This Row],[Last_Name]]," "," ",Table1[[#This Row],[First_Name]])</f>
        <v>Johnson  John</v>
      </c>
      <c r="K98">
        <f ca="1">DATEDIF(Table1[[#This Row],[Hire Date]],TODAY(),"Y")</f>
        <v>4</v>
      </c>
      <c r="L98" t="str" cm="1">
        <f t="array" ref="L98">_xlfn.IFS(Table1[[#This Row],[Perf_Score]]&gt;=95,"Outstanding",Table1[[#This Row],[Perf_Score]]&gt;=85,"Exceeding",Table1[[#This Row],[Perf_Score]]&gt;=70,"Achieving",Table1[[#This Row],[Perf_Score]]&gt;=50,"Developing",Table1[[#This Row],[Perf_Score]]&gt;=0,"Needs Improvement")</f>
        <v>Developing</v>
      </c>
      <c r="M98" s="14" cm="1">
        <f t="array" ref="M98">_xlfn.IFS(Table1[[#This Row],[Perf_Score]]&gt;=95,0.12,Table1[[#This Row],[Perf_Score]]&gt;=85,0.08,Table1[[#This Row],[Perf_Score]]&gt;=70,0.05,Table1[[#This Row],[Perf_Score]]&gt;=50,0.02,Table1[[#This Row],[Perf_Score]]&gt;=0,0)</f>
        <v>0.02</v>
      </c>
    </row>
    <row r="99" spans="1:13" x14ac:dyDescent="0.25">
      <c r="A99" t="s">
        <v>141</v>
      </c>
      <c r="B99" t="s">
        <v>41</v>
      </c>
      <c r="C99" t="s">
        <v>26</v>
      </c>
      <c r="D99" t="s">
        <v>36</v>
      </c>
      <c r="E99" s="7">
        <v>44081</v>
      </c>
      <c r="F99" s="5">
        <v>95292</v>
      </c>
      <c r="G99">
        <v>34</v>
      </c>
      <c r="H99" t="str">
        <f ca="1">TRIM(PROPER(Table1[[#This Row],[Employment Status]]))</f>
        <v>Active</v>
      </c>
      <c r="I99" t="str">
        <f>VLOOKUP(Table1[[#This Row],[Dept Code]],Lookup_Departments!$A$2:$B$7,2,FALSE)</f>
        <v>Sales</v>
      </c>
      <c r="J99" t="str">
        <f>CONCATENATE(Table1[[#This Row],[Last_Name]]," "," ",Table1[[#This Row],[First_Name]])</f>
        <v>Johnson  Jane</v>
      </c>
      <c r="K99">
        <f ca="1">DATEDIF(Table1[[#This Row],[Hire Date]],TODAY(),"Y")</f>
        <v>5</v>
      </c>
      <c r="L99" t="str" cm="1">
        <f t="array" ref="L99">_xlfn.IFS(Table1[[#This Row],[Perf_Score]]&gt;=95,"Outstanding",Table1[[#This Row],[Perf_Score]]&gt;=85,"Exceeding",Table1[[#This Row],[Perf_Score]]&gt;=70,"Achieving",Table1[[#This Row],[Perf_Score]]&gt;=50,"Developing",Table1[[#This Row],[Perf_Score]]&gt;=0,"Needs Improvement")</f>
        <v>Needs Improvement</v>
      </c>
      <c r="M99" s="14" cm="1">
        <f t="array" ref="M99">_xlfn.IFS(Table1[[#This Row],[Perf_Score]]&gt;=95,0.12,Table1[[#This Row],[Perf_Score]]&gt;=85,0.08,Table1[[#This Row],[Perf_Score]]&gt;=70,0.05,Table1[[#This Row],[Perf_Score]]&gt;=50,0.02,Table1[[#This Row],[Perf_Score]]&gt;=0,0)</f>
        <v>0</v>
      </c>
    </row>
    <row r="100" spans="1:13" x14ac:dyDescent="0.25">
      <c r="A100" t="s">
        <v>142</v>
      </c>
      <c r="B100" t="s">
        <v>19</v>
      </c>
      <c r="C100" t="s">
        <v>46</v>
      </c>
      <c r="D100" t="s">
        <v>11</v>
      </c>
      <c r="E100" s="7">
        <v>43532</v>
      </c>
      <c r="F100" s="5">
        <v>83604</v>
      </c>
      <c r="G100">
        <v>33</v>
      </c>
      <c r="H100" t="str">
        <f ca="1">TRIM(PROPER(Table1[[#This Row],[Employment Status]]))</f>
        <v>Active</v>
      </c>
      <c r="I100" t="str">
        <f>VLOOKUP(Table1[[#This Row],[Dept Code]],Lookup_Departments!$A$2:$B$7,2,FALSE)</f>
        <v>Information Technology</v>
      </c>
      <c r="J100" t="str">
        <f>CONCATENATE(Table1[[#This Row],[Last_Name]]," "," ",Table1[[#This Row],[First_Name]])</f>
        <v>Jones  John</v>
      </c>
      <c r="K100">
        <f ca="1">DATEDIF(Table1[[#This Row],[Hire Date]],TODAY(),"Y")</f>
        <v>7</v>
      </c>
      <c r="L100" t="str" cm="1">
        <f t="array" ref="L100">_xlfn.IFS(Table1[[#This Row],[Perf_Score]]&gt;=95,"Outstanding",Table1[[#This Row],[Perf_Score]]&gt;=85,"Exceeding",Table1[[#This Row],[Perf_Score]]&gt;=70,"Achieving",Table1[[#This Row],[Perf_Score]]&gt;=50,"Developing",Table1[[#This Row],[Perf_Score]]&gt;=0,"Needs Improvement")</f>
        <v>Needs Improvement</v>
      </c>
      <c r="M100" s="14" cm="1">
        <f t="array" ref="M100">_xlfn.IFS(Table1[[#This Row],[Perf_Score]]&gt;=95,0.12,Table1[[#This Row],[Perf_Score]]&gt;=85,0.08,Table1[[#This Row],[Perf_Score]]&gt;=70,0.05,Table1[[#This Row],[Perf_Score]]&gt;=50,0.02,Table1[[#This Row],[Perf_Score]]&gt;=0,0)</f>
        <v>0</v>
      </c>
    </row>
    <row r="101" spans="1:13" x14ac:dyDescent="0.25">
      <c r="A101" t="s">
        <v>143</v>
      </c>
      <c r="B101" t="s">
        <v>41</v>
      </c>
      <c r="C101" t="s">
        <v>54</v>
      </c>
      <c r="D101" t="s">
        <v>15</v>
      </c>
      <c r="E101" s="7">
        <v>42074</v>
      </c>
      <c r="F101" s="5">
        <v>101750</v>
      </c>
      <c r="G101">
        <v>84</v>
      </c>
      <c r="H101" t="str">
        <f ca="1">TRIM(PROPER(Table1[[#This Row],[Employment Status]]))</f>
        <v>Left</v>
      </c>
      <c r="I101" t="str">
        <f>VLOOKUP(Table1[[#This Row],[Dept Code]],Lookup_Departments!$A$2:$B$7,2,FALSE)</f>
        <v>Marketing</v>
      </c>
      <c r="J101" t="str">
        <f>CONCATENATE(Table1[[#This Row],[Last_Name]]," "," ",Table1[[#This Row],[First_Name]])</f>
        <v>Lopez  Jane</v>
      </c>
      <c r="K101">
        <f ca="1">DATEDIF(Table1[[#This Row],[Hire Date]],TODAY(),"Y")</f>
        <v>11</v>
      </c>
      <c r="L101" t="str" cm="1">
        <f t="array" ref="L101">_xlfn.IFS(Table1[[#This Row],[Perf_Score]]&gt;=95,"Outstanding",Table1[[#This Row],[Perf_Score]]&gt;=85,"Exceeding",Table1[[#This Row],[Perf_Score]]&gt;=70,"Achieving",Table1[[#This Row],[Perf_Score]]&gt;=50,"Developing",Table1[[#This Row],[Perf_Score]]&gt;=0,"Needs Improvement")</f>
        <v>Achieving</v>
      </c>
      <c r="M101" s="14" cm="1">
        <f t="array" ref="M101">_xlfn.IFS(Table1[[#This Row],[Perf_Score]]&gt;=95,0.12,Table1[[#This Row],[Perf_Score]]&gt;=85,0.08,Table1[[#This Row],[Perf_Score]]&gt;=70,0.05,Table1[[#This Row],[Perf_Score]]&gt;=50,0.02,Table1[[#This Row],[Perf_Score]]&gt;=0,0)</f>
        <v>0.05</v>
      </c>
    </row>
    <row r="102" spans="1:13" x14ac:dyDescent="0.25">
      <c r="A102" t="s">
        <v>144</v>
      </c>
      <c r="B102" t="s">
        <v>77</v>
      </c>
      <c r="C102" t="s">
        <v>17</v>
      </c>
      <c r="D102" t="s">
        <v>15</v>
      </c>
      <c r="E102" s="7">
        <v>42785</v>
      </c>
      <c r="F102" s="5">
        <v>82992</v>
      </c>
      <c r="G102">
        <v>79</v>
      </c>
      <c r="H102" t="str">
        <f ca="1">TRIM(PROPER(Table1[[#This Row],[Employment Status]]))</f>
        <v>Active</v>
      </c>
      <c r="I102" t="str">
        <f>VLOOKUP(Table1[[#This Row],[Dept Code]],Lookup_Departments!$A$2:$B$7,2,FALSE)</f>
        <v>Marketing</v>
      </c>
      <c r="J102" t="str">
        <f>CONCATENATE(Table1[[#This Row],[Last_Name]]," "," ",Table1[[#This Row],[First_Name]])</f>
        <v>Gonzalez  Melissa</v>
      </c>
      <c r="K102">
        <f ca="1">DATEDIF(Table1[[#This Row],[Hire Date]],TODAY(),"Y")</f>
        <v>9</v>
      </c>
      <c r="L102" t="str" cm="1">
        <f t="array" ref="L102">_xlfn.IFS(Table1[[#This Row],[Perf_Score]]&gt;=95,"Outstanding",Table1[[#This Row],[Perf_Score]]&gt;=85,"Exceeding",Table1[[#This Row],[Perf_Score]]&gt;=70,"Achieving",Table1[[#This Row],[Perf_Score]]&gt;=50,"Developing",Table1[[#This Row],[Perf_Score]]&gt;=0,"Needs Improvement")</f>
        <v>Achieving</v>
      </c>
      <c r="M102" s="14" cm="1">
        <f t="array" ref="M102">_xlfn.IFS(Table1[[#This Row],[Perf_Score]]&gt;=95,0.12,Table1[[#This Row],[Perf_Score]]&gt;=85,0.08,Table1[[#This Row],[Perf_Score]]&gt;=70,0.05,Table1[[#This Row],[Perf_Score]]&gt;=50,0.02,Table1[[#This Row],[Perf_Score]]&gt;=0,0)</f>
        <v>0.05</v>
      </c>
    </row>
    <row r="103" spans="1:13" x14ac:dyDescent="0.25">
      <c r="A103" t="s">
        <v>145</v>
      </c>
      <c r="B103" t="s">
        <v>114</v>
      </c>
      <c r="C103" t="s">
        <v>49</v>
      </c>
      <c r="D103" t="s">
        <v>11</v>
      </c>
      <c r="E103" s="7">
        <v>45055</v>
      </c>
      <c r="F103" s="5">
        <v>49942</v>
      </c>
      <c r="G103">
        <v>51</v>
      </c>
      <c r="H103" t="str">
        <f ca="1">TRIM(PROPER(Table1[[#This Row],[Employment Status]]))</f>
        <v>Active</v>
      </c>
      <c r="I103" t="str">
        <f>VLOOKUP(Table1[[#This Row],[Dept Code]],Lookup_Departments!$A$2:$B$7,2,FALSE)</f>
        <v>Information Technology</v>
      </c>
      <c r="J103" t="str">
        <f>CONCATENATE(Table1[[#This Row],[Last_Name]]," "," ",Table1[[#This Row],[First_Name]])</f>
        <v>Davis  William</v>
      </c>
      <c r="K103">
        <f ca="1">DATEDIF(Table1[[#This Row],[Hire Date]],TODAY(),"Y")</f>
        <v>3</v>
      </c>
      <c r="L103" t="str" cm="1">
        <f t="array" ref="L103">_xlfn.IFS(Table1[[#This Row],[Perf_Score]]&gt;=95,"Outstanding",Table1[[#This Row],[Perf_Score]]&gt;=85,"Exceeding",Table1[[#This Row],[Perf_Score]]&gt;=70,"Achieving",Table1[[#This Row],[Perf_Score]]&gt;=50,"Developing",Table1[[#This Row],[Perf_Score]]&gt;=0,"Needs Improvement")</f>
        <v>Developing</v>
      </c>
      <c r="M103" s="14" cm="1">
        <f t="array" ref="M103">_xlfn.IFS(Table1[[#This Row],[Perf_Score]]&gt;=95,0.12,Table1[[#This Row],[Perf_Score]]&gt;=85,0.08,Table1[[#This Row],[Perf_Score]]&gt;=70,0.05,Table1[[#This Row],[Perf_Score]]&gt;=50,0.02,Table1[[#This Row],[Perf_Score]]&gt;=0,0)</f>
        <v>0.02</v>
      </c>
    </row>
    <row r="104" spans="1:13" x14ac:dyDescent="0.25">
      <c r="A104" t="s">
        <v>146</v>
      </c>
      <c r="B104" t="s">
        <v>19</v>
      </c>
      <c r="C104" t="s">
        <v>24</v>
      </c>
      <c r="D104" t="s">
        <v>27</v>
      </c>
      <c r="E104" s="7">
        <v>43122</v>
      </c>
      <c r="F104" s="5">
        <v>89060</v>
      </c>
      <c r="G104">
        <v>58</v>
      </c>
      <c r="H104" t="str">
        <f ca="1">TRIM(PROPER(Table1[[#This Row],[Employment Status]]))</f>
        <v>Active</v>
      </c>
      <c r="I104" t="str">
        <f>VLOOKUP(Table1[[#This Row],[Dept Code]],Lookup_Departments!$A$2:$B$7,2,FALSE)</f>
        <v>Operations</v>
      </c>
      <c r="J104" t="str">
        <f>CONCATENATE(Table1[[#This Row],[Last_Name]]," "," ",Table1[[#This Row],[First_Name]])</f>
        <v>Smith  John</v>
      </c>
      <c r="K104">
        <f ca="1">DATEDIF(Table1[[#This Row],[Hire Date]],TODAY(),"Y")</f>
        <v>8</v>
      </c>
      <c r="L104" t="str" cm="1">
        <f t="array" ref="L104">_xlfn.IFS(Table1[[#This Row],[Perf_Score]]&gt;=95,"Outstanding",Table1[[#This Row],[Perf_Score]]&gt;=85,"Exceeding",Table1[[#This Row],[Perf_Score]]&gt;=70,"Achieving",Table1[[#This Row],[Perf_Score]]&gt;=50,"Developing",Table1[[#This Row],[Perf_Score]]&gt;=0,"Needs Improvement")</f>
        <v>Developing</v>
      </c>
      <c r="M104" s="14" cm="1">
        <f t="array" ref="M104">_xlfn.IFS(Table1[[#This Row],[Perf_Score]]&gt;=95,0.12,Table1[[#This Row],[Perf_Score]]&gt;=85,0.08,Table1[[#This Row],[Perf_Score]]&gt;=70,0.05,Table1[[#This Row],[Perf_Score]]&gt;=50,0.02,Table1[[#This Row],[Perf_Score]]&gt;=0,0)</f>
        <v>0.02</v>
      </c>
    </row>
    <row r="105" spans="1:13" x14ac:dyDescent="0.25">
      <c r="A105" t="s">
        <v>147</v>
      </c>
      <c r="B105" t="s">
        <v>51</v>
      </c>
      <c r="C105" t="s">
        <v>17</v>
      </c>
      <c r="D105" t="s">
        <v>11</v>
      </c>
      <c r="E105" s="7">
        <v>43879</v>
      </c>
      <c r="F105" s="5">
        <v>53786</v>
      </c>
      <c r="G105">
        <v>98</v>
      </c>
      <c r="H105" t="str">
        <f ca="1">TRIM(PROPER(Table1[[#This Row],[Employment Status]]))</f>
        <v>Active</v>
      </c>
      <c r="I105" t="str">
        <f>VLOOKUP(Table1[[#This Row],[Dept Code]],Lookup_Departments!$A$2:$B$7,2,FALSE)</f>
        <v>Information Technology</v>
      </c>
      <c r="J105" t="str">
        <f>CONCATENATE(Table1[[#This Row],[Last_Name]]," "," ",Table1[[#This Row],[First_Name]])</f>
        <v>Gonzalez  James</v>
      </c>
      <c r="K105">
        <f ca="1">DATEDIF(Table1[[#This Row],[Hire Date]],TODAY(),"Y")</f>
        <v>6</v>
      </c>
      <c r="L105" t="str" cm="1">
        <f t="array" ref="L105">_xlfn.IFS(Table1[[#This Row],[Perf_Score]]&gt;=95,"Outstanding",Table1[[#This Row],[Perf_Score]]&gt;=85,"Exceeding",Table1[[#This Row],[Perf_Score]]&gt;=70,"Achieving",Table1[[#This Row],[Perf_Score]]&gt;=50,"Developing",Table1[[#This Row],[Perf_Score]]&gt;=0,"Needs Improvement")</f>
        <v>Outstanding</v>
      </c>
      <c r="M105" s="14" cm="1">
        <f t="array" ref="M105">_xlfn.IFS(Table1[[#This Row],[Perf_Score]]&gt;=95,0.12,Table1[[#This Row],[Perf_Score]]&gt;=85,0.08,Table1[[#This Row],[Perf_Score]]&gt;=70,0.05,Table1[[#This Row],[Perf_Score]]&gt;=50,0.02,Table1[[#This Row],[Perf_Score]]&gt;=0,0)</f>
        <v>0.12</v>
      </c>
    </row>
    <row r="106" spans="1:13" x14ac:dyDescent="0.25">
      <c r="A106" t="s">
        <v>148</v>
      </c>
      <c r="B106" t="s">
        <v>9</v>
      </c>
      <c r="C106" t="s">
        <v>26</v>
      </c>
      <c r="D106" t="s">
        <v>27</v>
      </c>
      <c r="E106" s="7">
        <v>42512</v>
      </c>
      <c r="F106" s="5">
        <v>81167</v>
      </c>
      <c r="G106">
        <v>68</v>
      </c>
      <c r="H106" t="str">
        <f ca="1">TRIM(PROPER(Table1[[#This Row],[Employment Status]]))</f>
        <v>Active</v>
      </c>
      <c r="I106" t="str">
        <f>VLOOKUP(Table1[[#This Row],[Dept Code]],Lookup_Departments!$A$2:$B$7,2,FALSE)</f>
        <v>Operations</v>
      </c>
      <c r="J106" t="str">
        <f>CONCATENATE(Table1[[#This Row],[Last_Name]]," "," ",Table1[[#This Row],[First_Name]])</f>
        <v>Johnson  Emily</v>
      </c>
      <c r="K106">
        <f ca="1">DATEDIF(Table1[[#This Row],[Hire Date]],TODAY(),"Y")</f>
        <v>10</v>
      </c>
      <c r="L106" t="str" cm="1">
        <f t="array" ref="L106">_xlfn.IFS(Table1[[#This Row],[Perf_Score]]&gt;=95,"Outstanding",Table1[[#This Row],[Perf_Score]]&gt;=85,"Exceeding",Table1[[#This Row],[Perf_Score]]&gt;=70,"Achieving",Table1[[#This Row],[Perf_Score]]&gt;=50,"Developing",Table1[[#This Row],[Perf_Score]]&gt;=0,"Needs Improvement")</f>
        <v>Developing</v>
      </c>
      <c r="M106" s="14" cm="1">
        <f t="array" ref="M106">_xlfn.IFS(Table1[[#This Row],[Perf_Score]]&gt;=95,0.12,Table1[[#This Row],[Perf_Score]]&gt;=85,0.08,Table1[[#This Row],[Perf_Score]]&gt;=70,0.05,Table1[[#This Row],[Perf_Score]]&gt;=50,0.02,Table1[[#This Row],[Perf_Score]]&gt;=0,0)</f>
        <v>0.02</v>
      </c>
    </row>
    <row r="107" spans="1:13" x14ac:dyDescent="0.25">
      <c r="A107" t="s">
        <v>149</v>
      </c>
      <c r="B107" t="s">
        <v>114</v>
      </c>
      <c r="C107" t="s">
        <v>42</v>
      </c>
      <c r="D107" t="s">
        <v>15</v>
      </c>
      <c r="E107" s="7">
        <v>44349</v>
      </c>
      <c r="F107" s="5">
        <v>66688</v>
      </c>
      <c r="G107">
        <v>40</v>
      </c>
      <c r="H107" t="str">
        <f ca="1">TRIM(PROPER(Table1[[#This Row],[Employment Status]]))</f>
        <v>Left</v>
      </c>
      <c r="I107" t="str">
        <f>VLOOKUP(Table1[[#This Row],[Dept Code]],Lookup_Departments!$A$2:$B$7,2,FALSE)</f>
        <v>Marketing</v>
      </c>
      <c r="J107" t="str">
        <f>CONCATENATE(Table1[[#This Row],[Last_Name]]," "," ",Table1[[#This Row],[First_Name]])</f>
        <v>Williams  William</v>
      </c>
      <c r="K107">
        <f ca="1">DATEDIF(Table1[[#This Row],[Hire Date]],TODAY(),"Y")</f>
        <v>5</v>
      </c>
      <c r="L107" t="str" cm="1">
        <f t="array" ref="L107">_xlfn.IFS(Table1[[#This Row],[Perf_Score]]&gt;=95,"Outstanding",Table1[[#This Row],[Perf_Score]]&gt;=85,"Exceeding",Table1[[#This Row],[Perf_Score]]&gt;=70,"Achieving",Table1[[#This Row],[Perf_Score]]&gt;=50,"Developing",Table1[[#This Row],[Perf_Score]]&gt;=0,"Needs Improvement")</f>
        <v>Needs Improvement</v>
      </c>
      <c r="M107" s="14" cm="1">
        <f t="array" ref="M107">_xlfn.IFS(Table1[[#This Row],[Perf_Score]]&gt;=95,0.12,Table1[[#This Row],[Perf_Score]]&gt;=85,0.08,Table1[[#This Row],[Perf_Score]]&gt;=70,0.05,Table1[[#This Row],[Perf_Score]]&gt;=50,0.02,Table1[[#This Row],[Perf_Score]]&gt;=0,0)</f>
        <v>0</v>
      </c>
    </row>
    <row r="108" spans="1:13" x14ac:dyDescent="0.25">
      <c r="A108" t="s">
        <v>150</v>
      </c>
      <c r="B108" t="s">
        <v>51</v>
      </c>
      <c r="C108" t="s">
        <v>46</v>
      </c>
      <c r="D108" t="s">
        <v>11</v>
      </c>
      <c r="E108" s="7">
        <v>44394</v>
      </c>
      <c r="F108" s="5">
        <v>91672</v>
      </c>
      <c r="G108">
        <v>88</v>
      </c>
      <c r="H108" t="str">
        <f ca="1">TRIM(PROPER(Table1[[#This Row],[Employment Status]]))</f>
        <v>Active</v>
      </c>
      <c r="I108" t="str">
        <f>VLOOKUP(Table1[[#This Row],[Dept Code]],Lookup_Departments!$A$2:$B$7,2,FALSE)</f>
        <v>Information Technology</v>
      </c>
      <c r="J108" t="str">
        <f>CONCATENATE(Table1[[#This Row],[Last_Name]]," "," ",Table1[[#This Row],[First_Name]])</f>
        <v>Jones  James</v>
      </c>
      <c r="K108">
        <f ca="1">DATEDIF(Table1[[#This Row],[Hire Date]],TODAY(),"Y")</f>
        <v>5</v>
      </c>
      <c r="L108" t="str" cm="1">
        <f t="array" ref="L108">_xlfn.IFS(Table1[[#This Row],[Perf_Score]]&gt;=95,"Outstanding",Table1[[#This Row],[Perf_Score]]&gt;=85,"Exceeding",Table1[[#This Row],[Perf_Score]]&gt;=70,"Achieving",Table1[[#This Row],[Perf_Score]]&gt;=50,"Developing",Table1[[#This Row],[Perf_Score]]&gt;=0,"Needs Improvement")</f>
        <v>Exceeding</v>
      </c>
      <c r="M108" s="14" cm="1">
        <f t="array" ref="M108">_xlfn.IFS(Table1[[#This Row],[Perf_Score]]&gt;=95,0.12,Table1[[#This Row],[Perf_Score]]&gt;=85,0.08,Table1[[#This Row],[Perf_Score]]&gt;=70,0.05,Table1[[#This Row],[Perf_Score]]&gt;=50,0.02,Table1[[#This Row],[Perf_Score]]&gt;=0,0)</f>
        <v>0.08</v>
      </c>
    </row>
    <row r="109" spans="1:13" x14ac:dyDescent="0.25">
      <c r="A109" t="s">
        <v>151</v>
      </c>
      <c r="B109" t="s">
        <v>31</v>
      </c>
      <c r="C109" t="s">
        <v>17</v>
      </c>
      <c r="D109" t="s">
        <v>72</v>
      </c>
      <c r="E109" s="7">
        <v>42687</v>
      </c>
      <c r="F109" s="5">
        <v>77737</v>
      </c>
      <c r="G109">
        <v>77</v>
      </c>
      <c r="H109" t="str">
        <f ca="1">TRIM(PROPER(Table1[[#This Row],[Employment Status]]))</f>
        <v>Active</v>
      </c>
      <c r="I109" t="str">
        <f>VLOOKUP(Table1[[#This Row],[Dept Code]],Lookup_Departments!$A$2:$B$7,2,FALSE)</f>
        <v>Human Resources</v>
      </c>
      <c r="J109" t="str">
        <f>CONCATENATE(Table1[[#This Row],[Last_Name]]," "," ",Table1[[#This Row],[First_Name]])</f>
        <v>Gonzalez  Jessica</v>
      </c>
      <c r="K109">
        <f ca="1">DATEDIF(Table1[[#This Row],[Hire Date]],TODAY(),"Y")</f>
        <v>9</v>
      </c>
      <c r="L109" t="str" cm="1">
        <f t="array" ref="L109">_xlfn.IFS(Table1[[#This Row],[Perf_Score]]&gt;=95,"Outstanding",Table1[[#This Row],[Perf_Score]]&gt;=85,"Exceeding",Table1[[#This Row],[Perf_Score]]&gt;=70,"Achieving",Table1[[#This Row],[Perf_Score]]&gt;=50,"Developing",Table1[[#This Row],[Perf_Score]]&gt;=0,"Needs Improvement")</f>
        <v>Achieving</v>
      </c>
      <c r="M109" s="14" cm="1">
        <f t="array" ref="M109">_xlfn.IFS(Table1[[#This Row],[Perf_Score]]&gt;=95,0.12,Table1[[#This Row],[Perf_Score]]&gt;=85,0.08,Table1[[#This Row],[Perf_Score]]&gt;=70,0.05,Table1[[#This Row],[Perf_Score]]&gt;=50,0.02,Table1[[#This Row],[Perf_Score]]&gt;=0,0)</f>
        <v>0.05</v>
      </c>
    </row>
    <row r="110" spans="1:13" x14ac:dyDescent="0.25">
      <c r="A110" t="s">
        <v>152</v>
      </c>
      <c r="B110" t="s">
        <v>70</v>
      </c>
      <c r="C110" t="s">
        <v>38</v>
      </c>
      <c r="D110" t="s">
        <v>36</v>
      </c>
      <c r="E110" s="7">
        <v>43513</v>
      </c>
      <c r="F110" s="5">
        <v>95686</v>
      </c>
      <c r="G110">
        <v>91</v>
      </c>
      <c r="H110" t="str">
        <f ca="1">TRIM(PROPER(Table1[[#This Row],[Employment Status]]))</f>
        <v>Active</v>
      </c>
      <c r="I110" t="str">
        <f>VLOOKUP(Table1[[#This Row],[Dept Code]],Lookup_Departments!$A$2:$B$7,2,FALSE)</f>
        <v>Sales</v>
      </c>
      <c r="J110" t="str">
        <f>CONCATENATE(Table1[[#This Row],[Last_Name]]," "," ",Table1[[#This Row],[First_Name]])</f>
        <v>Miller  Sarah</v>
      </c>
      <c r="K110">
        <f ca="1">DATEDIF(Table1[[#This Row],[Hire Date]],TODAY(),"Y")</f>
        <v>7</v>
      </c>
      <c r="L110" t="str" cm="1">
        <f t="array" ref="L110">_xlfn.IFS(Table1[[#This Row],[Perf_Score]]&gt;=95,"Outstanding",Table1[[#This Row],[Perf_Score]]&gt;=85,"Exceeding",Table1[[#This Row],[Perf_Score]]&gt;=70,"Achieving",Table1[[#This Row],[Perf_Score]]&gt;=50,"Developing",Table1[[#This Row],[Perf_Score]]&gt;=0,"Needs Improvement")</f>
        <v>Exceeding</v>
      </c>
      <c r="M110" s="14" cm="1">
        <f t="array" ref="M110">_xlfn.IFS(Table1[[#This Row],[Perf_Score]]&gt;=95,0.12,Table1[[#This Row],[Perf_Score]]&gt;=85,0.08,Table1[[#This Row],[Perf_Score]]&gt;=70,0.05,Table1[[#This Row],[Perf_Score]]&gt;=50,0.02,Table1[[#This Row],[Perf_Score]]&gt;=0,0)</f>
        <v>0.08</v>
      </c>
    </row>
    <row r="111" spans="1:13" x14ac:dyDescent="0.25">
      <c r="A111" t="s">
        <v>153</v>
      </c>
      <c r="B111" t="s">
        <v>31</v>
      </c>
      <c r="C111" t="s">
        <v>24</v>
      </c>
      <c r="D111" t="s">
        <v>36</v>
      </c>
      <c r="E111" s="7">
        <v>42625</v>
      </c>
      <c r="F111" s="5">
        <v>114681</v>
      </c>
      <c r="G111">
        <v>36</v>
      </c>
      <c r="H111" t="str">
        <f ca="1">TRIM(PROPER(Table1[[#This Row],[Employment Status]]))</f>
        <v>Active</v>
      </c>
      <c r="I111" t="str">
        <f>VLOOKUP(Table1[[#This Row],[Dept Code]],Lookup_Departments!$A$2:$B$7,2,FALSE)</f>
        <v>Sales</v>
      </c>
      <c r="J111" t="str">
        <f>CONCATENATE(Table1[[#This Row],[Last_Name]]," "," ",Table1[[#This Row],[First_Name]])</f>
        <v>Smith  Jessica</v>
      </c>
      <c r="K111">
        <f ca="1">DATEDIF(Table1[[#This Row],[Hire Date]],TODAY(),"Y")</f>
        <v>9</v>
      </c>
      <c r="L111" t="str" cm="1">
        <f t="array" ref="L111">_xlfn.IFS(Table1[[#This Row],[Perf_Score]]&gt;=95,"Outstanding",Table1[[#This Row],[Perf_Score]]&gt;=85,"Exceeding",Table1[[#This Row],[Perf_Score]]&gt;=70,"Achieving",Table1[[#This Row],[Perf_Score]]&gt;=50,"Developing",Table1[[#This Row],[Perf_Score]]&gt;=0,"Needs Improvement")</f>
        <v>Needs Improvement</v>
      </c>
      <c r="M111" s="14" cm="1">
        <f t="array" ref="M111">_xlfn.IFS(Table1[[#This Row],[Perf_Score]]&gt;=95,0.12,Table1[[#This Row],[Perf_Score]]&gt;=85,0.08,Table1[[#This Row],[Perf_Score]]&gt;=70,0.05,Table1[[#This Row],[Perf_Score]]&gt;=50,0.02,Table1[[#This Row],[Perf_Score]]&gt;=0,0)</f>
        <v>0</v>
      </c>
    </row>
    <row r="112" spans="1:13" x14ac:dyDescent="0.25">
      <c r="A112" t="s">
        <v>154</v>
      </c>
      <c r="B112" t="s">
        <v>23</v>
      </c>
      <c r="C112" t="s">
        <v>46</v>
      </c>
      <c r="D112" t="s">
        <v>27</v>
      </c>
      <c r="E112" s="7">
        <v>44421</v>
      </c>
      <c r="F112" s="5">
        <v>109121</v>
      </c>
      <c r="G112">
        <v>72</v>
      </c>
      <c r="H112" t="str">
        <f ca="1">TRIM(PROPER(Table1[[#This Row],[Employment Status]]))</f>
        <v>Active</v>
      </c>
      <c r="I112" t="str">
        <f>VLOOKUP(Table1[[#This Row],[Dept Code]],Lookup_Departments!$A$2:$B$7,2,FALSE)</f>
        <v>Operations</v>
      </c>
      <c r="J112" t="str">
        <f>CONCATENATE(Table1[[#This Row],[Last_Name]]," "," ",Table1[[#This Row],[First_Name]])</f>
        <v>Jones  Thomas</v>
      </c>
      <c r="K112">
        <f ca="1">DATEDIF(Table1[[#This Row],[Hire Date]],TODAY(),"Y")</f>
        <v>4</v>
      </c>
      <c r="L112" t="str" cm="1">
        <f t="array" ref="L112">_xlfn.IFS(Table1[[#This Row],[Perf_Score]]&gt;=95,"Outstanding",Table1[[#This Row],[Perf_Score]]&gt;=85,"Exceeding",Table1[[#This Row],[Perf_Score]]&gt;=70,"Achieving",Table1[[#This Row],[Perf_Score]]&gt;=50,"Developing",Table1[[#This Row],[Perf_Score]]&gt;=0,"Needs Improvement")</f>
        <v>Achieving</v>
      </c>
      <c r="M112" s="14" cm="1">
        <f t="array" ref="M112">_xlfn.IFS(Table1[[#This Row],[Perf_Score]]&gt;=95,0.12,Table1[[#This Row],[Perf_Score]]&gt;=85,0.08,Table1[[#This Row],[Perf_Score]]&gt;=70,0.05,Table1[[#This Row],[Perf_Score]]&gt;=50,0.02,Table1[[#This Row],[Perf_Score]]&gt;=0,0)</f>
        <v>0.05</v>
      </c>
    </row>
    <row r="113" spans="1:13" x14ac:dyDescent="0.25">
      <c r="A113" t="s">
        <v>155</v>
      </c>
      <c r="B113" t="s">
        <v>56</v>
      </c>
      <c r="C113" t="s">
        <v>10</v>
      </c>
      <c r="D113" t="s">
        <v>15</v>
      </c>
      <c r="E113" s="7">
        <v>43996</v>
      </c>
      <c r="F113" s="5">
        <v>112791</v>
      </c>
      <c r="G113">
        <v>87</v>
      </c>
      <c r="H113" t="str">
        <f ca="1">TRIM(PROPER(Table1[[#This Row],[Employment Status]]))</f>
        <v>Active</v>
      </c>
      <c r="I113" t="str">
        <f>VLOOKUP(Table1[[#This Row],[Dept Code]],Lookup_Departments!$A$2:$B$7,2,FALSE)</f>
        <v>Marketing</v>
      </c>
      <c r="J113" t="str">
        <f>CONCATENATE(Table1[[#This Row],[Last_Name]]," "," ",Table1[[#This Row],[First_Name]])</f>
        <v>Brown  Amanda</v>
      </c>
      <c r="K113">
        <f ca="1">DATEDIF(Table1[[#This Row],[Hire Date]],TODAY(),"Y")</f>
        <v>6</v>
      </c>
      <c r="L113" t="str" cm="1">
        <f t="array" ref="L113">_xlfn.IFS(Table1[[#This Row],[Perf_Score]]&gt;=95,"Outstanding",Table1[[#This Row],[Perf_Score]]&gt;=85,"Exceeding",Table1[[#This Row],[Perf_Score]]&gt;=70,"Achieving",Table1[[#This Row],[Perf_Score]]&gt;=50,"Developing",Table1[[#This Row],[Perf_Score]]&gt;=0,"Needs Improvement")</f>
        <v>Exceeding</v>
      </c>
      <c r="M113" s="14" cm="1">
        <f t="array" ref="M113">_xlfn.IFS(Table1[[#This Row],[Perf_Score]]&gt;=95,0.12,Table1[[#This Row],[Perf_Score]]&gt;=85,0.08,Table1[[#This Row],[Perf_Score]]&gt;=70,0.05,Table1[[#This Row],[Perf_Score]]&gt;=50,0.02,Table1[[#This Row],[Perf_Score]]&gt;=0,0)</f>
        <v>0.08</v>
      </c>
    </row>
    <row r="114" spans="1:13" x14ac:dyDescent="0.25">
      <c r="A114" t="s">
        <v>156</v>
      </c>
      <c r="B114" t="s">
        <v>45</v>
      </c>
      <c r="C114" t="s">
        <v>20</v>
      </c>
      <c r="D114" t="s">
        <v>11</v>
      </c>
      <c r="E114" s="7">
        <v>44747</v>
      </c>
      <c r="F114" s="5">
        <v>118008</v>
      </c>
      <c r="G114">
        <v>71</v>
      </c>
      <c r="H114" t="str">
        <f ca="1">TRIM(PROPER(Table1[[#This Row],[Employment Status]]))</f>
        <v>Active</v>
      </c>
      <c r="I114" t="str">
        <f>VLOOKUP(Table1[[#This Row],[Dept Code]],Lookup_Departments!$A$2:$B$7,2,FALSE)</f>
        <v>Information Technology</v>
      </c>
      <c r="J114" t="str">
        <f>CONCATENATE(Table1[[#This Row],[Last_Name]]," "," ",Table1[[#This Row],[First_Name]])</f>
        <v>Martinez  Robert</v>
      </c>
      <c r="K114">
        <f ca="1">DATEDIF(Table1[[#This Row],[Hire Date]],TODAY(),"Y")</f>
        <v>4</v>
      </c>
      <c r="L114" t="str" cm="1">
        <f t="array" ref="L114">_xlfn.IFS(Table1[[#This Row],[Perf_Score]]&gt;=95,"Outstanding",Table1[[#This Row],[Perf_Score]]&gt;=85,"Exceeding",Table1[[#This Row],[Perf_Score]]&gt;=70,"Achieving",Table1[[#This Row],[Perf_Score]]&gt;=50,"Developing",Table1[[#This Row],[Perf_Score]]&gt;=0,"Needs Improvement")</f>
        <v>Achieving</v>
      </c>
      <c r="M114" s="14" cm="1">
        <f t="array" ref="M114">_xlfn.IFS(Table1[[#This Row],[Perf_Score]]&gt;=95,0.12,Table1[[#This Row],[Perf_Score]]&gt;=85,0.08,Table1[[#This Row],[Perf_Score]]&gt;=70,0.05,Table1[[#This Row],[Perf_Score]]&gt;=50,0.02,Table1[[#This Row],[Perf_Score]]&gt;=0,0)</f>
        <v>0.05</v>
      </c>
    </row>
    <row r="115" spans="1:13" x14ac:dyDescent="0.25">
      <c r="A115" t="s">
        <v>157</v>
      </c>
      <c r="B115" t="s">
        <v>23</v>
      </c>
      <c r="C115" t="s">
        <v>38</v>
      </c>
      <c r="D115" t="s">
        <v>11</v>
      </c>
      <c r="E115" s="7">
        <v>42561</v>
      </c>
      <c r="F115" s="5">
        <v>74370</v>
      </c>
      <c r="G115">
        <v>82</v>
      </c>
      <c r="H115" t="str">
        <f ca="1">TRIM(PROPER(Table1[[#This Row],[Employment Status]]))</f>
        <v>Active</v>
      </c>
      <c r="I115" t="str">
        <f>VLOOKUP(Table1[[#This Row],[Dept Code]],Lookup_Departments!$A$2:$B$7,2,FALSE)</f>
        <v>Information Technology</v>
      </c>
      <c r="J115" t="str">
        <f>CONCATENATE(Table1[[#This Row],[Last_Name]]," "," ",Table1[[#This Row],[First_Name]])</f>
        <v>Miller  Thomas</v>
      </c>
      <c r="K115">
        <f ca="1">DATEDIF(Table1[[#This Row],[Hire Date]],TODAY(),"Y")</f>
        <v>10</v>
      </c>
      <c r="L115" t="str" cm="1">
        <f t="array" ref="L115">_xlfn.IFS(Table1[[#This Row],[Perf_Score]]&gt;=95,"Outstanding",Table1[[#This Row],[Perf_Score]]&gt;=85,"Exceeding",Table1[[#This Row],[Perf_Score]]&gt;=70,"Achieving",Table1[[#This Row],[Perf_Score]]&gt;=50,"Developing",Table1[[#This Row],[Perf_Score]]&gt;=0,"Needs Improvement")</f>
        <v>Achieving</v>
      </c>
      <c r="M115" s="14" cm="1">
        <f t="array" ref="M115">_xlfn.IFS(Table1[[#This Row],[Perf_Score]]&gt;=95,0.12,Table1[[#This Row],[Perf_Score]]&gt;=85,0.08,Table1[[#This Row],[Perf_Score]]&gt;=70,0.05,Table1[[#This Row],[Perf_Score]]&gt;=50,0.02,Table1[[#This Row],[Perf_Score]]&gt;=0,0)</f>
        <v>0.05</v>
      </c>
    </row>
    <row r="116" spans="1:13" x14ac:dyDescent="0.25">
      <c r="A116" t="s">
        <v>158</v>
      </c>
      <c r="B116" t="s">
        <v>82</v>
      </c>
      <c r="C116" t="s">
        <v>33</v>
      </c>
      <c r="D116" t="s">
        <v>11</v>
      </c>
      <c r="E116" s="7">
        <v>44674</v>
      </c>
      <c r="F116" s="5">
        <v>77819</v>
      </c>
      <c r="G116">
        <v>79</v>
      </c>
      <c r="H116" t="str">
        <f ca="1">TRIM(PROPER(Table1[[#This Row],[Employment Status]]))</f>
        <v>Active</v>
      </c>
      <c r="I116" t="str">
        <f>VLOOKUP(Table1[[#This Row],[Dept Code]],Lookup_Departments!$A$2:$B$7,2,FALSE)</f>
        <v>Information Technology</v>
      </c>
      <c r="J116" t="str">
        <f>CONCATENATE(Table1[[#This Row],[Last_Name]]," "," ",Table1[[#This Row],[First_Name]])</f>
        <v>Rodriguez  David</v>
      </c>
      <c r="K116">
        <f ca="1">DATEDIF(Table1[[#This Row],[Hire Date]],TODAY(),"Y")</f>
        <v>4</v>
      </c>
      <c r="L116" t="str" cm="1">
        <f t="array" ref="L116">_xlfn.IFS(Table1[[#This Row],[Perf_Score]]&gt;=95,"Outstanding",Table1[[#This Row],[Perf_Score]]&gt;=85,"Exceeding",Table1[[#This Row],[Perf_Score]]&gt;=70,"Achieving",Table1[[#This Row],[Perf_Score]]&gt;=50,"Developing",Table1[[#This Row],[Perf_Score]]&gt;=0,"Needs Improvement")</f>
        <v>Achieving</v>
      </c>
      <c r="M116" s="14" cm="1">
        <f t="array" ref="M116">_xlfn.IFS(Table1[[#This Row],[Perf_Score]]&gt;=95,0.12,Table1[[#This Row],[Perf_Score]]&gt;=85,0.08,Table1[[#This Row],[Perf_Score]]&gt;=70,0.05,Table1[[#This Row],[Perf_Score]]&gt;=50,0.02,Table1[[#This Row],[Perf_Score]]&gt;=0,0)</f>
        <v>0.05</v>
      </c>
    </row>
    <row r="117" spans="1:13" x14ac:dyDescent="0.25">
      <c r="A117" t="s">
        <v>159</v>
      </c>
      <c r="B117" t="s">
        <v>41</v>
      </c>
      <c r="C117" t="s">
        <v>38</v>
      </c>
      <c r="D117" t="s">
        <v>15</v>
      </c>
      <c r="E117" s="7">
        <v>42865</v>
      </c>
      <c r="F117" s="5">
        <v>48748</v>
      </c>
      <c r="G117">
        <v>83</v>
      </c>
      <c r="H117" t="str">
        <f ca="1">TRIM(PROPER(Table1[[#This Row],[Employment Status]]))</f>
        <v>Active</v>
      </c>
      <c r="I117" t="str">
        <f>VLOOKUP(Table1[[#This Row],[Dept Code]],Lookup_Departments!$A$2:$B$7,2,FALSE)</f>
        <v>Marketing</v>
      </c>
      <c r="J117" t="str">
        <f>CONCATENATE(Table1[[#This Row],[Last_Name]]," "," ",Table1[[#This Row],[First_Name]])</f>
        <v>Miller  Jane</v>
      </c>
      <c r="K117">
        <f ca="1">DATEDIF(Table1[[#This Row],[Hire Date]],TODAY(),"Y")</f>
        <v>9</v>
      </c>
      <c r="L117" t="str" cm="1">
        <f t="array" ref="L117">_xlfn.IFS(Table1[[#This Row],[Perf_Score]]&gt;=95,"Outstanding",Table1[[#This Row],[Perf_Score]]&gt;=85,"Exceeding",Table1[[#This Row],[Perf_Score]]&gt;=70,"Achieving",Table1[[#This Row],[Perf_Score]]&gt;=50,"Developing",Table1[[#This Row],[Perf_Score]]&gt;=0,"Needs Improvement")</f>
        <v>Achieving</v>
      </c>
      <c r="M117" s="14" cm="1">
        <f t="array" ref="M117">_xlfn.IFS(Table1[[#This Row],[Perf_Score]]&gt;=95,0.12,Table1[[#This Row],[Perf_Score]]&gt;=85,0.08,Table1[[#This Row],[Perf_Score]]&gt;=70,0.05,Table1[[#This Row],[Perf_Score]]&gt;=50,0.02,Table1[[#This Row],[Perf_Score]]&gt;=0,0)</f>
        <v>0.05</v>
      </c>
    </row>
    <row r="118" spans="1:13" x14ac:dyDescent="0.25">
      <c r="A118" t="s">
        <v>160</v>
      </c>
      <c r="B118" t="s">
        <v>51</v>
      </c>
      <c r="C118" t="s">
        <v>33</v>
      </c>
      <c r="D118" t="s">
        <v>27</v>
      </c>
      <c r="E118" s="7">
        <v>43971</v>
      </c>
      <c r="F118" s="5">
        <v>101997</v>
      </c>
      <c r="G118">
        <v>38</v>
      </c>
      <c r="H118" t="str">
        <f ca="1">TRIM(PROPER(Table1[[#This Row],[Employment Status]]))</f>
        <v>Resigned</v>
      </c>
      <c r="I118" t="str">
        <f>VLOOKUP(Table1[[#This Row],[Dept Code]],Lookup_Departments!$A$2:$B$7,2,FALSE)</f>
        <v>Operations</v>
      </c>
      <c r="J118" t="str">
        <f>CONCATENATE(Table1[[#This Row],[Last_Name]]," "," ",Table1[[#This Row],[First_Name]])</f>
        <v>Rodriguez  James</v>
      </c>
      <c r="K118">
        <f ca="1">DATEDIF(Table1[[#This Row],[Hire Date]],TODAY(),"Y")</f>
        <v>6</v>
      </c>
      <c r="L118" t="str" cm="1">
        <f t="array" ref="L118">_xlfn.IFS(Table1[[#This Row],[Perf_Score]]&gt;=95,"Outstanding",Table1[[#This Row],[Perf_Score]]&gt;=85,"Exceeding",Table1[[#This Row],[Perf_Score]]&gt;=70,"Achieving",Table1[[#This Row],[Perf_Score]]&gt;=50,"Developing",Table1[[#This Row],[Perf_Score]]&gt;=0,"Needs Improvement")</f>
        <v>Needs Improvement</v>
      </c>
      <c r="M118" s="14" cm="1">
        <f t="array" ref="M118">_xlfn.IFS(Table1[[#This Row],[Perf_Score]]&gt;=95,0.12,Table1[[#This Row],[Perf_Score]]&gt;=85,0.08,Table1[[#This Row],[Perf_Score]]&gt;=70,0.05,Table1[[#This Row],[Perf_Score]]&gt;=50,0.02,Table1[[#This Row],[Perf_Score]]&gt;=0,0)</f>
        <v>0</v>
      </c>
    </row>
    <row r="119" spans="1:13" x14ac:dyDescent="0.25">
      <c r="A119" t="s">
        <v>161</v>
      </c>
      <c r="B119" t="s">
        <v>70</v>
      </c>
      <c r="C119" t="s">
        <v>33</v>
      </c>
      <c r="D119" t="s">
        <v>72</v>
      </c>
      <c r="E119" s="7">
        <v>45036</v>
      </c>
      <c r="F119" s="5">
        <v>115260</v>
      </c>
      <c r="G119">
        <v>77</v>
      </c>
      <c r="H119" t="str">
        <f ca="1">TRIM(PROPER(Table1[[#This Row],[Employment Status]]))</f>
        <v>Active</v>
      </c>
      <c r="I119" t="str">
        <f>VLOOKUP(Table1[[#This Row],[Dept Code]],Lookup_Departments!$A$2:$B$7,2,FALSE)</f>
        <v>Human Resources</v>
      </c>
      <c r="J119" t="str">
        <f>CONCATENATE(Table1[[#This Row],[Last_Name]]," "," ",Table1[[#This Row],[First_Name]])</f>
        <v>Rodriguez  Sarah</v>
      </c>
      <c r="K119">
        <f ca="1">DATEDIF(Table1[[#This Row],[Hire Date]],TODAY(),"Y")</f>
        <v>3</v>
      </c>
      <c r="L119" t="str" cm="1">
        <f t="array" ref="L119">_xlfn.IFS(Table1[[#This Row],[Perf_Score]]&gt;=95,"Outstanding",Table1[[#This Row],[Perf_Score]]&gt;=85,"Exceeding",Table1[[#This Row],[Perf_Score]]&gt;=70,"Achieving",Table1[[#This Row],[Perf_Score]]&gt;=50,"Developing",Table1[[#This Row],[Perf_Score]]&gt;=0,"Needs Improvement")</f>
        <v>Achieving</v>
      </c>
      <c r="M119" s="14" cm="1">
        <f t="array" ref="M119">_xlfn.IFS(Table1[[#This Row],[Perf_Score]]&gt;=95,0.12,Table1[[#This Row],[Perf_Score]]&gt;=85,0.08,Table1[[#This Row],[Perf_Score]]&gt;=70,0.05,Table1[[#This Row],[Perf_Score]]&gt;=50,0.02,Table1[[#This Row],[Perf_Score]]&gt;=0,0)</f>
        <v>0.05</v>
      </c>
    </row>
    <row r="120" spans="1:13" x14ac:dyDescent="0.25">
      <c r="A120" t="s">
        <v>162</v>
      </c>
      <c r="B120" t="s">
        <v>70</v>
      </c>
      <c r="C120" t="s">
        <v>29</v>
      </c>
      <c r="D120" t="s">
        <v>36</v>
      </c>
      <c r="E120" s="7">
        <v>44500</v>
      </c>
      <c r="F120" s="5">
        <v>83126</v>
      </c>
      <c r="G120">
        <v>49</v>
      </c>
      <c r="H120" t="str">
        <f ca="1">TRIM(PROPER(Table1[[#This Row],[Employment Status]]))</f>
        <v>Active</v>
      </c>
      <c r="I120" t="str">
        <f>VLOOKUP(Table1[[#This Row],[Dept Code]],Lookup_Departments!$A$2:$B$7,2,FALSE)</f>
        <v>Sales</v>
      </c>
      <c r="J120" t="str">
        <f>CONCATENATE(Table1[[#This Row],[Last_Name]]," "," ",Table1[[#This Row],[First_Name]])</f>
        <v>Wilson  Sarah</v>
      </c>
      <c r="K120">
        <f ca="1">DATEDIF(Table1[[#This Row],[Hire Date]],TODAY(),"Y")</f>
        <v>4</v>
      </c>
      <c r="L120" t="str" cm="1">
        <f t="array" ref="L120">_xlfn.IFS(Table1[[#This Row],[Perf_Score]]&gt;=95,"Outstanding",Table1[[#This Row],[Perf_Score]]&gt;=85,"Exceeding",Table1[[#This Row],[Perf_Score]]&gt;=70,"Achieving",Table1[[#This Row],[Perf_Score]]&gt;=50,"Developing",Table1[[#This Row],[Perf_Score]]&gt;=0,"Needs Improvement")</f>
        <v>Needs Improvement</v>
      </c>
      <c r="M120" s="14" cm="1">
        <f t="array" ref="M120">_xlfn.IFS(Table1[[#This Row],[Perf_Score]]&gt;=95,0.12,Table1[[#This Row],[Perf_Score]]&gt;=85,0.08,Table1[[#This Row],[Perf_Score]]&gt;=70,0.05,Table1[[#This Row],[Perf_Score]]&gt;=50,0.02,Table1[[#This Row],[Perf_Score]]&gt;=0,0)</f>
        <v>0</v>
      </c>
    </row>
    <row r="121" spans="1:13" x14ac:dyDescent="0.25">
      <c r="A121" t="s">
        <v>163</v>
      </c>
      <c r="B121" t="s">
        <v>77</v>
      </c>
      <c r="C121" t="s">
        <v>10</v>
      </c>
      <c r="D121" t="s">
        <v>11</v>
      </c>
      <c r="E121" s="7">
        <v>44493</v>
      </c>
      <c r="F121" s="5">
        <v>83594</v>
      </c>
      <c r="G121">
        <v>69</v>
      </c>
      <c r="H121" t="str">
        <f ca="1">TRIM(PROPER(Table1[[#This Row],[Employment Status]]))</f>
        <v>Left</v>
      </c>
      <c r="I121" t="str">
        <f>VLOOKUP(Table1[[#This Row],[Dept Code]],Lookup_Departments!$A$2:$B$7,2,FALSE)</f>
        <v>Information Technology</v>
      </c>
      <c r="J121" t="str">
        <f>CONCATENATE(Table1[[#This Row],[Last_Name]]," "," ",Table1[[#This Row],[First_Name]])</f>
        <v>Brown  Melissa</v>
      </c>
      <c r="K121">
        <f ca="1">DATEDIF(Table1[[#This Row],[Hire Date]],TODAY(),"Y")</f>
        <v>4</v>
      </c>
      <c r="L121" t="str" cm="1">
        <f t="array" ref="L121">_xlfn.IFS(Table1[[#This Row],[Perf_Score]]&gt;=95,"Outstanding",Table1[[#This Row],[Perf_Score]]&gt;=85,"Exceeding",Table1[[#This Row],[Perf_Score]]&gt;=70,"Achieving",Table1[[#This Row],[Perf_Score]]&gt;=50,"Developing",Table1[[#This Row],[Perf_Score]]&gt;=0,"Needs Improvement")</f>
        <v>Developing</v>
      </c>
      <c r="M121" s="14" cm="1">
        <f t="array" ref="M121">_xlfn.IFS(Table1[[#This Row],[Perf_Score]]&gt;=95,0.12,Table1[[#This Row],[Perf_Score]]&gt;=85,0.08,Table1[[#This Row],[Perf_Score]]&gt;=70,0.05,Table1[[#This Row],[Perf_Score]]&gt;=50,0.02,Table1[[#This Row],[Perf_Score]]&gt;=0,0)</f>
        <v>0.02</v>
      </c>
    </row>
    <row r="122" spans="1:13" x14ac:dyDescent="0.25">
      <c r="A122" t="s">
        <v>164</v>
      </c>
      <c r="B122" t="s">
        <v>45</v>
      </c>
      <c r="C122" t="s">
        <v>42</v>
      </c>
      <c r="D122" t="s">
        <v>36</v>
      </c>
      <c r="E122" s="7">
        <v>42956</v>
      </c>
      <c r="F122" s="5">
        <v>83126</v>
      </c>
      <c r="G122">
        <v>76</v>
      </c>
      <c r="H122" t="str">
        <f ca="1">TRIM(PROPER(Table1[[#This Row],[Employment Status]]))</f>
        <v>Active</v>
      </c>
      <c r="I122" t="str">
        <f>VLOOKUP(Table1[[#This Row],[Dept Code]],Lookup_Departments!$A$2:$B$7,2,FALSE)</f>
        <v>Sales</v>
      </c>
      <c r="J122" t="str">
        <f>CONCATENATE(Table1[[#This Row],[Last_Name]]," "," ",Table1[[#This Row],[First_Name]])</f>
        <v>Williams  Robert</v>
      </c>
      <c r="K122">
        <f ca="1">DATEDIF(Table1[[#This Row],[Hire Date]],TODAY(),"Y")</f>
        <v>8</v>
      </c>
      <c r="L122" t="str" cm="1">
        <f t="array" ref="L122">_xlfn.IFS(Table1[[#This Row],[Perf_Score]]&gt;=95,"Outstanding",Table1[[#This Row],[Perf_Score]]&gt;=85,"Exceeding",Table1[[#This Row],[Perf_Score]]&gt;=70,"Achieving",Table1[[#This Row],[Perf_Score]]&gt;=50,"Developing",Table1[[#This Row],[Perf_Score]]&gt;=0,"Needs Improvement")</f>
        <v>Achieving</v>
      </c>
      <c r="M122" s="14" cm="1">
        <f t="array" ref="M122">_xlfn.IFS(Table1[[#This Row],[Perf_Score]]&gt;=95,0.12,Table1[[#This Row],[Perf_Score]]&gt;=85,0.08,Table1[[#This Row],[Perf_Score]]&gt;=70,0.05,Table1[[#This Row],[Perf_Score]]&gt;=50,0.02,Table1[[#This Row],[Perf_Score]]&gt;=0,0)</f>
        <v>0.05</v>
      </c>
    </row>
    <row r="123" spans="1:13" x14ac:dyDescent="0.25">
      <c r="A123" t="s">
        <v>165</v>
      </c>
      <c r="B123" t="s">
        <v>77</v>
      </c>
      <c r="C123" t="s">
        <v>33</v>
      </c>
      <c r="D123" t="s">
        <v>27</v>
      </c>
      <c r="E123" s="7">
        <v>44930</v>
      </c>
      <c r="F123" s="5">
        <v>60623</v>
      </c>
      <c r="G123">
        <v>78</v>
      </c>
      <c r="H123" t="str">
        <f ca="1">TRIM(PROPER(Table1[[#This Row],[Employment Status]]))</f>
        <v>Active</v>
      </c>
      <c r="I123" t="str">
        <f>VLOOKUP(Table1[[#This Row],[Dept Code]],Lookup_Departments!$A$2:$B$7,2,FALSE)</f>
        <v>Operations</v>
      </c>
      <c r="J123" t="str">
        <f>CONCATENATE(Table1[[#This Row],[Last_Name]]," "," ",Table1[[#This Row],[First_Name]])</f>
        <v>Rodriguez  Melissa</v>
      </c>
      <c r="K123">
        <f ca="1">DATEDIF(Table1[[#This Row],[Hire Date]],TODAY(),"Y")</f>
        <v>3</v>
      </c>
      <c r="L123" t="str" cm="1">
        <f t="array" ref="L123">_xlfn.IFS(Table1[[#This Row],[Perf_Score]]&gt;=95,"Outstanding",Table1[[#This Row],[Perf_Score]]&gt;=85,"Exceeding",Table1[[#This Row],[Perf_Score]]&gt;=70,"Achieving",Table1[[#This Row],[Perf_Score]]&gt;=50,"Developing",Table1[[#This Row],[Perf_Score]]&gt;=0,"Needs Improvement")</f>
        <v>Achieving</v>
      </c>
      <c r="M123" s="14" cm="1">
        <f t="array" ref="M123">_xlfn.IFS(Table1[[#This Row],[Perf_Score]]&gt;=95,0.12,Table1[[#This Row],[Perf_Score]]&gt;=85,0.08,Table1[[#This Row],[Perf_Score]]&gt;=70,0.05,Table1[[#This Row],[Perf_Score]]&gt;=50,0.02,Table1[[#This Row],[Perf_Score]]&gt;=0,0)</f>
        <v>0.05</v>
      </c>
    </row>
    <row r="124" spans="1:13" x14ac:dyDescent="0.25">
      <c r="A124" t="s">
        <v>166</v>
      </c>
      <c r="B124" t="s">
        <v>51</v>
      </c>
      <c r="C124" t="s">
        <v>26</v>
      </c>
      <c r="D124" t="s">
        <v>72</v>
      </c>
      <c r="E124" s="7">
        <v>44053</v>
      </c>
      <c r="F124" s="5">
        <v>68092</v>
      </c>
      <c r="G124">
        <v>93</v>
      </c>
      <c r="H124" t="str">
        <f ca="1">TRIM(PROPER(Table1[[#This Row],[Employment Status]]))</f>
        <v>Active</v>
      </c>
      <c r="I124" t="str">
        <f>VLOOKUP(Table1[[#This Row],[Dept Code]],Lookup_Departments!$A$2:$B$7,2,FALSE)</f>
        <v>Human Resources</v>
      </c>
      <c r="J124" t="str">
        <f>CONCATENATE(Table1[[#This Row],[Last_Name]]," "," ",Table1[[#This Row],[First_Name]])</f>
        <v>Johnson  James</v>
      </c>
      <c r="K124">
        <f ca="1">DATEDIF(Table1[[#This Row],[Hire Date]],TODAY(),"Y")</f>
        <v>5</v>
      </c>
      <c r="L124" t="str" cm="1">
        <f t="array" ref="L124">_xlfn.IFS(Table1[[#This Row],[Perf_Score]]&gt;=95,"Outstanding",Table1[[#This Row],[Perf_Score]]&gt;=85,"Exceeding",Table1[[#This Row],[Perf_Score]]&gt;=70,"Achieving",Table1[[#This Row],[Perf_Score]]&gt;=50,"Developing",Table1[[#This Row],[Perf_Score]]&gt;=0,"Needs Improvement")</f>
        <v>Exceeding</v>
      </c>
      <c r="M124" s="14" cm="1">
        <f t="array" ref="M124">_xlfn.IFS(Table1[[#This Row],[Perf_Score]]&gt;=95,0.12,Table1[[#This Row],[Perf_Score]]&gt;=85,0.08,Table1[[#This Row],[Perf_Score]]&gt;=70,0.05,Table1[[#This Row],[Perf_Score]]&gt;=50,0.02,Table1[[#This Row],[Perf_Score]]&gt;=0,0)</f>
        <v>0.08</v>
      </c>
    </row>
    <row r="125" spans="1:13" x14ac:dyDescent="0.25">
      <c r="A125" t="s">
        <v>167</v>
      </c>
      <c r="B125" t="s">
        <v>35</v>
      </c>
      <c r="C125" t="s">
        <v>29</v>
      </c>
      <c r="D125" t="s">
        <v>15</v>
      </c>
      <c r="E125" s="7">
        <v>44653</v>
      </c>
      <c r="F125" s="5">
        <v>88155</v>
      </c>
      <c r="G125">
        <v>68</v>
      </c>
      <c r="H125" t="str">
        <f ca="1">TRIM(PROPER(Table1[[#This Row],[Employment Status]]))</f>
        <v>Active</v>
      </c>
      <c r="I125" t="str">
        <f>VLOOKUP(Table1[[#This Row],[Dept Code]],Lookup_Departments!$A$2:$B$7,2,FALSE)</f>
        <v>Marketing</v>
      </c>
      <c r="J125" t="str">
        <f>CONCATENATE(Table1[[#This Row],[Last_Name]]," "," ",Table1[[#This Row],[First_Name]])</f>
        <v>Wilson  Michael</v>
      </c>
      <c r="K125">
        <f ca="1">DATEDIF(Table1[[#This Row],[Hire Date]],TODAY(),"Y")</f>
        <v>4</v>
      </c>
      <c r="L125" t="str" cm="1">
        <f t="array" ref="L125">_xlfn.IFS(Table1[[#This Row],[Perf_Score]]&gt;=95,"Outstanding",Table1[[#This Row],[Perf_Score]]&gt;=85,"Exceeding",Table1[[#This Row],[Perf_Score]]&gt;=70,"Achieving",Table1[[#This Row],[Perf_Score]]&gt;=50,"Developing",Table1[[#This Row],[Perf_Score]]&gt;=0,"Needs Improvement")</f>
        <v>Developing</v>
      </c>
      <c r="M125" s="14" cm="1">
        <f t="array" ref="M125">_xlfn.IFS(Table1[[#This Row],[Perf_Score]]&gt;=95,0.12,Table1[[#This Row],[Perf_Score]]&gt;=85,0.08,Table1[[#This Row],[Perf_Score]]&gt;=70,0.05,Table1[[#This Row],[Perf_Score]]&gt;=50,0.02,Table1[[#This Row],[Perf_Score]]&gt;=0,0)</f>
        <v>0.02</v>
      </c>
    </row>
    <row r="126" spans="1:13" x14ac:dyDescent="0.25">
      <c r="A126" t="s">
        <v>168</v>
      </c>
      <c r="B126" t="s">
        <v>114</v>
      </c>
      <c r="C126" t="s">
        <v>46</v>
      </c>
      <c r="D126" t="s">
        <v>15</v>
      </c>
      <c r="E126" s="7">
        <v>43183</v>
      </c>
      <c r="F126" s="5">
        <v>107903</v>
      </c>
      <c r="G126">
        <v>42</v>
      </c>
      <c r="H126" t="str">
        <f ca="1">TRIM(PROPER(Table1[[#This Row],[Employment Status]]))</f>
        <v>Active</v>
      </c>
      <c r="I126" t="str">
        <f>VLOOKUP(Table1[[#This Row],[Dept Code]],Lookup_Departments!$A$2:$B$7,2,FALSE)</f>
        <v>Marketing</v>
      </c>
      <c r="J126" t="str">
        <f>CONCATENATE(Table1[[#This Row],[Last_Name]]," "," ",Table1[[#This Row],[First_Name]])</f>
        <v>Jones  William</v>
      </c>
      <c r="K126">
        <f ca="1">DATEDIF(Table1[[#This Row],[Hire Date]],TODAY(),"Y")</f>
        <v>8</v>
      </c>
      <c r="L126" t="str" cm="1">
        <f t="array" ref="L126">_xlfn.IFS(Table1[[#This Row],[Perf_Score]]&gt;=95,"Outstanding",Table1[[#This Row],[Perf_Score]]&gt;=85,"Exceeding",Table1[[#This Row],[Perf_Score]]&gt;=70,"Achieving",Table1[[#This Row],[Perf_Score]]&gt;=50,"Developing",Table1[[#This Row],[Perf_Score]]&gt;=0,"Needs Improvement")</f>
        <v>Needs Improvement</v>
      </c>
      <c r="M126" s="14" cm="1">
        <f t="array" ref="M126">_xlfn.IFS(Table1[[#This Row],[Perf_Score]]&gt;=95,0.12,Table1[[#This Row],[Perf_Score]]&gt;=85,0.08,Table1[[#This Row],[Perf_Score]]&gt;=70,0.05,Table1[[#This Row],[Perf_Score]]&gt;=50,0.02,Table1[[#This Row],[Perf_Score]]&gt;=0,0)</f>
        <v>0</v>
      </c>
    </row>
    <row r="127" spans="1:13" x14ac:dyDescent="0.25">
      <c r="A127" t="s">
        <v>169</v>
      </c>
      <c r="B127" t="s">
        <v>114</v>
      </c>
      <c r="C127" t="s">
        <v>42</v>
      </c>
      <c r="D127" t="s">
        <v>11</v>
      </c>
      <c r="E127" s="7">
        <v>43305</v>
      </c>
      <c r="F127" s="5">
        <v>62818</v>
      </c>
      <c r="G127">
        <v>34</v>
      </c>
      <c r="H127" t="str">
        <f ca="1">TRIM(PROPER(Table1[[#This Row],[Employment Status]]))</f>
        <v>Active</v>
      </c>
      <c r="I127" t="str">
        <f>VLOOKUP(Table1[[#This Row],[Dept Code]],Lookup_Departments!$A$2:$B$7,2,FALSE)</f>
        <v>Information Technology</v>
      </c>
      <c r="J127" t="str">
        <f>CONCATENATE(Table1[[#This Row],[Last_Name]]," "," ",Table1[[#This Row],[First_Name]])</f>
        <v>Williams  William</v>
      </c>
      <c r="K127">
        <f ca="1">DATEDIF(Table1[[#This Row],[Hire Date]],TODAY(),"Y")</f>
        <v>7</v>
      </c>
      <c r="L127" t="str" cm="1">
        <f t="array" ref="L127">_xlfn.IFS(Table1[[#This Row],[Perf_Score]]&gt;=95,"Outstanding",Table1[[#This Row],[Perf_Score]]&gt;=85,"Exceeding",Table1[[#This Row],[Perf_Score]]&gt;=70,"Achieving",Table1[[#This Row],[Perf_Score]]&gt;=50,"Developing",Table1[[#This Row],[Perf_Score]]&gt;=0,"Needs Improvement")</f>
        <v>Needs Improvement</v>
      </c>
      <c r="M127" s="14" cm="1">
        <f t="array" ref="M127">_xlfn.IFS(Table1[[#This Row],[Perf_Score]]&gt;=95,0.12,Table1[[#This Row],[Perf_Score]]&gt;=85,0.08,Table1[[#This Row],[Perf_Score]]&gt;=70,0.05,Table1[[#This Row],[Perf_Score]]&gt;=50,0.02,Table1[[#This Row],[Perf_Score]]&gt;=0,0)</f>
        <v>0</v>
      </c>
    </row>
    <row r="128" spans="1:13" x14ac:dyDescent="0.25">
      <c r="A128" t="s">
        <v>170</v>
      </c>
      <c r="B128" t="s">
        <v>82</v>
      </c>
      <c r="C128" t="s">
        <v>42</v>
      </c>
      <c r="D128" t="s">
        <v>72</v>
      </c>
      <c r="E128" s="7">
        <v>43301</v>
      </c>
      <c r="F128" s="5">
        <v>85151</v>
      </c>
      <c r="G128">
        <v>35</v>
      </c>
      <c r="H128" t="str">
        <f ca="1">TRIM(PROPER(Table1[[#This Row],[Employment Status]]))</f>
        <v>Active</v>
      </c>
      <c r="I128" t="str">
        <f>VLOOKUP(Table1[[#This Row],[Dept Code]],Lookup_Departments!$A$2:$B$7,2,FALSE)</f>
        <v>Human Resources</v>
      </c>
      <c r="J128" t="str">
        <f>CONCATENATE(Table1[[#This Row],[Last_Name]]," "," ",Table1[[#This Row],[First_Name]])</f>
        <v>Williams  David</v>
      </c>
      <c r="K128">
        <f ca="1">DATEDIF(Table1[[#This Row],[Hire Date]],TODAY(),"Y")</f>
        <v>7</v>
      </c>
      <c r="L128" t="str" cm="1">
        <f t="array" ref="L128">_xlfn.IFS(Table1[[#This Row],[Perf_Score]]&gt;=95,"Outstanding",Table1[[#This Row],[Perf_Score]]&gt;=85,"Exceeding",Table1[[#This Row],[Perf_Score]]&gt;=70,"Achieving",Table1[[#This Row],[Perf_Score]]&gt;=50,"Developing",Table1[[#This Row],[Perf_Score]]&gt;=0,"Needs Improvement")</f>
        <v>Needs Improvement</v>
      </c>
      <c r="M128" s="14" cm="1">
        <f t="array" ref="M128">_xlfn.IFS(Table1[[#This Row],[Perf_Score]]&gt;=95,0.12,Table1[[#This Row],[Perf_Score]]&gt;=85,0.08,Table1[[#This Row],[Perf_Score]]&gt;=70,0.05,Table1[[#This Row],[Perf_Score]]&gt;=50,0.02,Table1[[#This Row],[Perf_Score]]&gt;=0,0)</f>
        <v>0</v>
      </c>
    </row>
    <row r="129" spans="1:13" x14ac:dyDescent="0.25">
      <c r="A129" t="s">
        <v>171</v>
      </c>
      <c r="B129" t="s">
        <v>41</v>
      </c>
      <c r="C129" t="s">
        <v>49</v>
      </c>
      <c r="D129" t="s">
        <v>21</v>
      </c>
      <c r="E129" s="7">
        <v>42433</v>
      </c>
      <c r="F129" s="5">
        <v>46390</v>
      </c>
      <c r="G129">
        <v>95</v>
      </c>
      <c r="H129" t="str">
        <f ca="1">TRIM(PROPER(Table1[[#This Row],[Employment Status]]))</f>
        <v>Active</v>
      </c>
      <c r="I129" t="str">
        <f>VLOOKUP(Table1[[#This Row],[Dept Code]],Lookup_Departments!$A$2:$B$7,2,FALSE)</f>
        <v>Finance</v>
      </c>
      <c r="J129" t="str">
        <f>CONCATENATE(Table1[[#This Row],[Last_Name]]," "," ",Table1[[#This Row],[First_Name]])</f>
        <v>Davis  Jane</v>
      </c>
      <c r="K129">
        <f ca="1">DATEDIF(Table1[[#This Row],[Hire Date]],TODAY(),"Y")</f>
        <v>10</v>
      </c>
      <c r="L129" t="str" cm="1">
        <f t="array" ref="L129">_xlfn.IFS(Table1[[#This Row],[Perf_Score]]&gt;=95,"Outstanding",Table1[[#This Row],[Perf_Score]]&gt;=85,"Exceeding",Table1[[#This Row],[Perf_Score]]&gt;=70,"Achieving",Table1[[#This Row],[Perf_Score]]&gt;=50,"Developing",Table1[[#This Row],[Perf_Score]]&gt;=0,"Needs Improvement")</f>
        <v>Outstanding</v>
      </c>
      <c r="M129" s="14" cm="1">
        <f t="array" ref="M129">_xlfn.IFS(Table1[[#This Row],[Perf_Score]]&gt;=95,0.12,Table1[[#This Row],[Perf_Score]]&gt;=85,0.08,Table1[[#This Row],[Perf_Score]]&gt;=70,0.05,Table1[[#This Row],[Perf_Score]]&gt;=50,0.02,Table1[[#This Row],[Perf_Score]]&gt;=0,0)</f>
        <v>0.12</v>
      </c>
    </row>
    <row r="130" spans="1:13" x14ac:dyDescent="0.25">
      <c r="A130" t="s">
        <v>172</v>
      </c>
      <c r="B130" t="s">
        <v>19</v>
      </c>
      <c r="C130" t="s">
        <v>20</v>
      </c>
      <c r="D130" t="s">
        <v>72</v>
      </c>
      <c r="E130" s="7">
        <v>44643</v>
      </c>
      <c r="F130" s="5">
        <v>111920</v>
      </c>
      <c r="G130">
        <v>90</v>
      </c>
      <c r="H130" t="str">
        <f ca="1">TRIM(PROPER(Table1[[#This Row],[Employment Status]]))</f>
        <v>Left</v>
      </c>
      <c r="I130" t="str">
        <f>VLOOKUP(Table1[[#This Row],[Dept Code]],Lookup_Departments!$A$2:$B$7,2,FALSE)</f>
        <v>Human Resources</v>
      </c>
      <c r="J130" t="str">
        <f>CONCATENATE(Table1[[#This Row],[Last_Name]]," "," ",Table1[[#This Row],[First_Name]])</f>
        <v>Martinez  John</v>
      </c>
      <c r="K130">
        <f ca="1">DATEDIF(Table1[[#This Row],[Hire Date]],TODAY(),"Y")</f>
        <v>4</v>
      </c>
      <c r="L130" t="str" cm="1">
        <f t="array" ref="L130">_xlfn.IFS(Table1[[#This Row],[Perf_Score]]&gt;=95,"Outstanding",Table1[[#This Row],[Perf_Score]]&gt;=85,"Exceeding",Table1[[#This Row],[Perf_Score]]&gt;=70,"Achieving",Table1[[#This Row],[Perf_Score]]&gt;=50,"Developing",Table1[[#This Row],[Perf_Score]]&gt;=0,"Needs Improvement")</f>
        <v>Exceeding</v>
      </c>
      <c r="M130" s="14" cm="1">
        <f t="array" ref="M130">_xlfn.IFS(Table1[[#This Row],[Perf_Score]]&gt;=95,0.12,Table1[[#This Row],[Perf_Score]]&gt;=85,0.08,Table1[[#This Row],[Perf_Score]]&gt;=70,0.05,Table1[[#This Row],[Perf_Score]]&gt;=50,0.02,Table1[[#This Row],[Perf_Score]]&gt;=0,0)</f>
        <v>0.08</v>
      </c>
    </row>
    <row r="131" spans="1:13" x14ac:dyDescent="0.25">
      <c r="A131" t="s">
        <v>173</v>
      </c>
      <c r="B131" t="s">
        <v>82</v>
      </c>
      <c r="C131" t="s">
        <v>98</v>
      </c>
      <c r="D131" t="s">
        <v>72</v>
      </c>
      <c r="E131" s="7">
        <v>42944</v>
      </c>
      <c r="F131" s="5">
        <v>115618</v>
      </c>
      <c r="G131">
        <v>42</v>
      </c>
      <c r="H131" t="str">
        <f ca="1">TRIM(PROPER(Table1[[#This Row],[Employment Status]]))</f>
        <v>Active</v>
      </c>
      <c r="I131" t="str">
        <f>VLOOKUP(Table1[[#This Row],[Dept Code]],Lookup_Departments!$A$2:$B$7,2,FALSE)</f>
        <v>Human Resources</v>
      </c>
      <c r="J131" t="str">
        <f>CONCATENATE(Table1[[#This Row],[Last_Name]]," "," ",Table1[[#This Row],[First_Name]])</f>
        <v>Anderson  David</v>
      </c>
      <c r="K131">
        <f ca="1">DATEDIF(Table1[[#This Row],[Hire Date]],TODAY(),"Y")</f>
        <v>8</v>
      </c>
      <c r="L131" t="str" cm="1">
        <f t="array" ref="L131">_xlfn.IFS(Table1[[#This Row],[Perf_Score]]&gt;=95,"Outstanding",Table1[[#This Row],[Perf_Score]]&gt;=85,"Exceeding",Table1[[#This Row],[Perf_Score]]&gt;=70,"Achieving",Table1[[#This Row],[Perf_Score]]&gt;=50,"Developing",Table1[[#This Row],[Perf_Score]]&gt;=0,"Needs Improvement")</f>
        <v>Needs Improvement</v>
      </c>
      <c r="M131" s="14" cm="1">
        <f t="array" ref="M131">_xlfn.IFS(Table1[[#This Row],[Perf_Score]]&gt;=95,0.12,Table1[[#This Row],[Perf_Score]]&gt;=85,0.08,Table1[[#This Row],[Perf_Score]]&gt;=70,0.05,Table1[[#This Row],[Perf_Score]]&gt;=50,0.02,Table1[[#This Row],[Perf_Score]]&gt;=0,0)</f>
        <v>0</v>
      </c>
    </row>
    <row r="132" spans="1:13" x14ac:dyDescent="0.25">
      <c r="A132" t="s">
        <v>174</v>
      </c>
      <c r="B132" t="s">
        <v>70</v>
      </c>
      <c r="C132" t="s">
        <v>24</v>
      </c>
      <c r="D132" t="s">
        <v>36</v>
      </c>
      <c r="E132" s="7">
        <v>45057</v>
      </c>
      <c r="F132" s="5">
        <v>110618</v>
      </c>
      <c r="G132">
        <v>88</v>
      </c>
      <c r="H132" t="str">
        <f ca="1">TRIM(PROPER(Table1[[#This Row],[Employment Status]]))</f>
        <v>Resigned</v>
      </c>
      <c r="I132" t="str">
        <f>VLOOKUP(Table1[[#This Row],[Dept Code]],Lookup_Departments!$A$2:$B$7,2,FALSE)</f>
        <v>Sales</v>
      </c>
      <c r="J132" t="str">
        <f>CONCATENATE(Table1[[#This Row],[Last_Name]]," "," ",Table1[[#This Row],[First_Name]])</f>
        <v>Smith  Sarah</v>
      </c>
      <c r="K132">
        <f ca="1">DATEDIF(Table1[[#This Row],[Hire Date]],TODAY(),"Y")</f>
        <v>3</v>
      </c>
      <c r="L132" t="str" cm="1">
        <f t="array" ref="L132">_xlfn.IFS(Table1[[#This Row],[Perf_Score]]&gt;=95,"Outstanding",Table1[[#This Row],[Perf_Score]]&gt;=85,"Exceeding",Table1[[#This Row],[Perf_Score]]&gt;=70,"Achieving",Table1[[#This Row],[Perf_Score]]&gt;=50,"Developing",Table1[[#This Row],[Perf_Score]]&gt;=0,"Needs Improvement")</f>
        <v>Exceeding</v>
      </c>
      <c r="M132" s="14" cm="1">
        <f t="array" ref="M132">_xlfn.IFS(Table1[[#This Row],[Perf_Score]]&gt;=95,0.12,Table1[[#This Row],[Perf_Score]]&gt;=85,0.08,Table1[[#This Row],[Perf_Score]]&gt;=70,0.05,Table1[[#This Row],[Perf_Score]]&gt;=50,0.02,Table1[[#This Row],[Perf_Score]]&gt;=0,0)</f>
        <v>0.08</v>
      </c>
    </row>
    <row r="133" spans="1:13" x14ac:dyDescent="0.25">
      <c r="A133" t="s">
        <v>175</v>
      </c>
      <c r="B133" t="s">
        <v>77</v>
      </c>
      <c r="C133" t="s">
        <v>14</v>
      </c>
      <c r="D133" t="s">
        <v>27</v>
      </c>
      <c r="E133" s="7">
        <v>44639</v>
      </c>
      <c r="F133" s="5">
        <v>108395</v>
      </c>
      <c r="G133">
        <v>78</v>
      </c>
      <c r="H133" t="str">
        <f ca="1">TRIM(PROPER(Table1[[#This Row],[Employment Status]]))</f>
        <v>Left</v>
      </c>
      <c r="I133" t="str">
        <f>VLOOKUP(Table1[[#This Row],[Dept Code]],Lookup_Departments!$A$2:$B$7,2,FALSE)</f>
        <v>Operations</v>
      </c>
      <c r="J133" t="str">
        <f>CONCATENATE(Table1[[#This Row],[Last_Name]]," "," ",Table1[[#This Row],[First_Name]])</f>
        <v>Hernandez  Melissa</v>
      </c>
      <c r="K133">
        <f ca="1">DATEDIF(Table1[[#This Row],[Hire Date]],TODAY(),"Y")</f>
        <v>4</v>
      </c>
      <c r="L133" t="str" cm="1">
        <f t="array" ref="L133">_xlfn.IFS(Table1[[#This Row],[Perf_Score]]&gt;=95,"Outstanding",Table1[[#This Row],[Perf_Score]]&gt;=85,"Exceeding",Table1[[#This Row],[Perf_Score]]&gt;=70,"Achieving",Table1[[#This Row],[Perf_Score]]&gt;=50,"Developing",Table1[[#This Row],[Perf_Score]]&gt;=0,"Needs Improvement")</f>
        <v>Achieving</v>
      </c>
      <c r="M133" s="14" cm="1">
        <f t="array" ref="M133">_xlfn.IFS(Table1[[#This Row],[Perf_Score]]&gt;=95,0.12,Table1[[#This Row],[Perf_Score]]&gt;=85,0.08,Table1[[#This Row],[Perf_Score]]&gt;=70,0.05,Table1[[#This Row],[Perf_Score]]&gt;=50,0.02,Table1[[#This Row],[Perf_Score]]&gt;=0,0)</f>
        <v>0.05</v>
      </c>
    </row>
    <row r="134" spans="1:13" x14ac:dyDescent="0.25">
      <c r="A134" t="s">
        <v>176</v>
      </c>
      <c r="B134" t="s">
        <v>77</v>
      </c>
      <c r="C134" t="s">
        <v>26</v>
      </c>
      <c r="D134" t="s">
        <v>21</v>
      </c>
      <c r="E134" s="7">
        <v>43091</v>
      </c>
      <c r="F134" s="5">
        <v>88005</v>
      </c>
      <c r="G134">
        <v>69</v>
      </c>
      <c r="H134" t="str">
        <f ca="1">TRIM(PROPER(Table1[[#This Row],[Employment Status]]))</f>
        <v>Active</v>
      </c>
      <c r="I134" t="str">
        <f>VLOOKUP(Table1[[#This Row],[Dept Code]],Lookup_Departments!$A$2:$B$7,2,FALSE)</f>
        <v>Finance</v>
      </c>
      <c r="J134" t="str">
        <f>CONCATENATE(Table1[[#This Row],[Last_Name]]," "," ",Table1[[#This Row],[First_Name]])</f>
        <v>Johnson  Melissa</v>
      </c>
      <c r="K134">
        <f ca="1">DATEDIF(Table1[[#This Row],[Hire Date]],TODAY(),"Y")</f>
        <v>8</v>
      </c>
      <c r="L134" t="str" cm="1">
        <f t="array" ref="L134">_xlfn.IFS(Table1[[#This Row],[Perf_Score]]&gt;=95,"Outstanding",Table1[[#This Row],[Perf_Score]]&gt;=85,"Exceeding",Table1[[#This Row],[Perf_Score]]&gt;=70,"Achieving",Table1[[#This Row],[Perf_Score]]&gt;=50,"Developing",Table1[[#This Row],[Perf_Score]]&gt;=0,"Needs Improvement")</f>
        <v>Developing</v>
      </c>
      <c r="M134" s="14" cm="1">
        <f t="array" ref="M134">_xlfn.IFS(Table1[[#This Row],[Perf_Score]]&gt;=95,0.12,Table1[[#This Row],[Perf_Score]]&gt;=85,0.08,Table1[[#This Row],[Perf_Score]]&gt;=70,0.05,Table1[[#This Row],[Perf_Score]]&gt;=50,0.02,Table1[[#This Row],[Perf_Score]]&gt;=0,0)</f>
        <v>0.02</v>
      </c>
    </row>
    <row r="135" spans="1:13" x14ac:dyDescent="0.25">
      <c r="A135" t="s">
        <v>177</v>
      </c>
      <c r="B135" t="s">
        <v>41</v>
      </c>
      <c r="C135" t="s">
        <v>96</v>
      </c>
      <c r="D135" t="s">
        <v>15</v>
      </c>
      <c r="E135" s="7">
        <v>44437</v>
      </c>
      <c r="F135" s="5">
        <v>83007</v>
      </c>
      <c r="G135">
        <v>82</v>
      </c>
      <c r="H135" t="str">
        <f ca="1">TRIM(PROPER(Table1[[#This Row],[Employment Status]]))</f>
        <v>Active</v>
      </c>
      <c r="I135" t="str">
        <f>VLOOKUP(Table1[[#This Row],[Dept Code]],Lookup_Departments!$A$2:$B$7,2,FALSE)</f>
        <v>Marketing</v>
      </c>
      <c r="J135" t="str">
        <f>CONCATENATE(Table1[[#This Row],[Last_Name]]," "," ",Table1[[#This Row],[First_Name]])</f>
        <v>Garcia  Jane</v>
      </c>
      <c r="K135">
        <f ca="1">DATEDIF(Table1[[#This Row],[Hire Date]],TODAY(),"Y")</f>
        <v>4</v>
      </c>
      <c r="L135" t="str" cm="1">
        <f t="array" ref="L135">_xlfn.IFS(Table1[[#This Row],[Perf_Score]]&gt;=95,"Outstanding",Table1[[#This Row],[Perf_Score]]&gt;=85,"Exceeding",Table1[[#This Row],[Perf_Score]]&gt;=70,"Achieving",Table1[[#This Row],[Perf_Score]]&gt;=50,"Developing",Table1[[#This Row],[Perf_Score]]&gt;=0,"Needs Improvement")</f>
        <v>Achieving</v>
      </c>
      <c r="M135" s="14" cm="1">
        <f t="array" ref="M135">_xlfn.IFS(Table1[[#This Row],[Perf_Score]]&gt;=95,0.12,Table1[[#This Row],[Perf_Score]]&gt;=85,0.08,Table1[[#This Row],[Perf_Score]]&gt;=70,0.05,Table1[[#This Row],[Perf_Score]]&gt;=50,0.02,Table1[[#This Row],[Perf_Score]]&gt;=0,0)</f>
        <v>0.05</v>
      </c>
    </row>
    <row r="136" spans="1:13" x14ac:dyDescent="0.25">
      <c r="A136" t="s">
        <v>178</v>
      </c>
      <c r="B136" t="s">
        <v>82</v>
      </c>
      <c r="C136" t="s">
        <v>49</v>
      </c>
      <c r="D136" t="s">
        <v>11</v>
      </c>
      <c r="E136" s="7">
        <v>43360</v>
      </c>
      <c r="F136" s="5">
        <v>61547</v>
      </c>
      <c r="G136">
        <v>68</v>
      </c>
      <c r="H136" t="str">
        <f ca="1">TRIM(PROPER(Table1[[#This Row],[Employment Status]]))</f>
        <v>Active</v>
      </c>
      <c r="I136" t="str">
        <f>VLOOKUP(Table1[[#This Row],[Dept Code]],Lookup_Departments!$A$2:$B$7,2,FALSE)</f>
        <v>Information Technology</v>
      </c>
      <c r="J136" t="str">
        <f>CONCATENATE(Table1[[#This Row],[Last_Name]]," "," ",Table1[[#This Row],[First_Name]])</f>
        <v>Davis  David</v>
      </c>
      <c r="K136">
        <f ca="1">DATEDIF(Table1[[#This Row],[Hire Date]],TODAY(),"Y")</f>
        <v>7</v>
      </c>
      <c r="L136" t="str" cm="1">
        <f t="array" ref="L136">_xlfn.IFS(Table1[[#This Row],[Perf_Score]]&gt;=95,"Outstanding",Table1[[#This Row],[Perf_Score]]&gt;=85,"Exceeding",Table1[[#This Row],[Perf_Score]]&gt;=70,"Achieving",Table1[[#This Row],[Perf_Score]]&gt;=50,"Developing",Table1[[#This Row],[Perf_Score]]&gt;=0,"Needs Improvement")</f>
        <v>Developing</v>
      </c>
      <c r="M136" s="14" cm="1">
        <f t="array" ref="M136">_xlfn.IFS(Table1[[#This Row],[Perf_Score]]&gt;=95,0.12,Table1[[#This Row],[Perf_Score]]&gt;=85,0.08,Table1[[#This Row],[Perf_Score]]&gt;=70,0.05,Table1[[#This Row],[Perf_Score]]&gt;=50,0.02,Table1[[#This Row],[Perf_Score]]&gt;=0,0)</f>
        <v>0.02</v>
      </c>
    </row>
    <row r="137" spans="1:13" x14ac:dyDescent="0.25">
      <c r="A137" t="s">
        <v>179</v>
      </c>
      <c r="B137" t="s">
        <v>51</v>
      </c>
      <c r="C137" t="s">
        <v>29</v>
      </c>
      <c r="D137" t="s">
        <v>36</v>
      </c>
      <c r="E137" s="7">
        <v>44375</v>
      </c>
      <c r="F137" s="5">
        <v>83126</v>
      </c>
      <c r="G137">
        <v>52</v>
      </c>
      <c r="H137" t="str">
        <f ca="1">TRIM(PROPER(Table1[[#This Row],[Employment Status]]))</f>
        <v>Active</v>
      </c>
      <c r="I137" t="str">
        <f>VLOOKUP(Table1[[#This Row],[Dept Code]],Lookup_Departments!$A$2:$B$7,2,FALSE)</f>
        <v>Sales</v>
      </c>
      <c r="J137" t="str">
        <f>CONCATENATE(Table1[[#This Row],[Last_Name]]," "," ",Table1[[#This Row],[First_Name]])</f>
        <v>Wilson  James</v>
      </c>
      <c r="K137">
        <f ca="1">DATEDIF(Table1[[#This Row],[Hire Date]],TODAY(),"Y")</f>
        <v>5</v>
      </c>
      <c r="L137" t="str" cm="1">
        <f t="array" ref="L137">_xlfn.IFS(Table1[[#This Row],[Perf_Score]]&gt;=95,"Outstanding",Table1[[#This Row],[Perf_Score]]&gt;=85,"Exceeding",Table1[[#This Row],[Perf_Score]]&gt;=70,"Achieving",Table1[[#This Row],[Perf_Score]]&gt;=50,"Developing",Table1[[#This Row],[Perf_Score]]&gt;=0,"Needs Improvement")</f>
        <v>Developing</v>
      </c>
      <c r="M137" s="14" cm="1">
        <f t="array" ref="M137">_xlfn.IFS(Table1[[#This Row],[Perf_Score]]&gt;=95,0.12,Table1[[#This Row],[Perf_Score]]&gt;=85,0.08,Table1[[#This Row],[Perf_Score]]&gt;=70,0.05,Table1[[#This Row],[Perf_Score]]&gt;=50,0.02,Table1[[#This Row],[Perf_Score]]&gt;=0,0)</f>
        <v>0.02</v>
      </c>
    </row>
    <row r="138" spans="1:13" x14ac:dyDescent="0.25">
      <c r="A138" t="s">
        <v>180</v>
      </c>
      <c r="B138" t="s">
        <v>13</v>
      </c>
      <c r="C138" t="s">
        <v>26</v>
      </c>
      <c r="D138" t="s">
        <v>27</v>
      </c>
      <c r="E138" s="7">
        <v>43011</v>
      </c>
      <c r="F138" s="5">
        <v>50399</v>
      </c>
      <c r="G138">
        <v>92</v>
      </c>
      <c r="H138" t="str">
        <f ca="1">TRIM(PROPER(Table1[[#This Row],[Employment Status]]))</f>
        <v>Left</v>
      </c>
      <c r="I138" t="str">
        <f>VLOOKUP(Table1[[#This Row],[Dept Code]],Lookup_Departments!$A$2:$B$7,2,FALSE)</f>
        <v>Operations</v>
      </c>
      <c r="J138" t="str">
        <f>CONCATENATE(Table1[[#This Row],[Last_Name]]," "," ",Table1[[#This Row],[First_Name]])</f>
        <v>Johnson  Richard</v>
      </c>
      <c r="K138">
        <f ca="1">DATEDIF(Table1[[#This Row],[Hire Date]],TODAY(),"Y")</f>
        <v>8</v>
      </c>
      <c r="L138" t="str" cm="1">
        <f t="array" ref="L138">_xlfn.IFS(Table1[[#This Row],[Perf_Score]]&gt;=95,"Outstanding",Table1[[#This Row],[Perf_Score]]&gt;=85,"Exceeding",Table1[[#This Row],[Perf_Score]]&gt;=70,"Achieving",Table1[[#This Row],[Perf_Score]]&gt;=50,"Developing",Table1[[#This Row],[Perf_Score]]&gt;=0,"Needs Improvement")</f>
        <v>Exceeding</v>
      </c>
      <c r="M138" s="14" cm="1">
        <f t="array" ref="M138">_xlfn.IFS(Table1[[#This Row],[Perf_Score]]&gt;=95,0.12,Table1[[#This Row],[Perf_Score]]&gt;=85,0.08,Table1[[#This Row],[Perf_Score]]&gt;=70,0.05,Table1[[#This Row],[Perf_Score]]&gt;=50,0.02,Table1[[#This Row],[Perf_Score]]&gt;=0,0)</f>
        <v>0.08</v>
      </c>
    </row>
    <row r="139" spans="1:13" x14ac:dyDescent="0.25">
      <c r="A139" t="s">
        <v>181</v>
      </c>
      <c r="B139" t="s">
        <v>13</v>
      </c>
      <c r="C139" t="s">
        <v>42</v>
      </c>
      <c r="D139" t="s">
        <v>21</v>
      </c>
      <c r="E139" s="7">
        <v>42299</v>
      </c>
      <c r="F139" s="5">
        <v>83454</v>
      </c>
      <c r="G139">
        <v>62</v>
      </c>
      <c r="H139" t="str">
        <f ca="1">TRIM(PROPER(Table1[[#This Row],[Employment Status]]))</f>
        <v>Active</v>
      </c>
      <c r="I139" t="str">
        <f>VLOOKUP(Table1[[#This Row],[Dept Code]],Lookup_Departments!$A$2:$B$7,2,FALSE)</f>
        <v>Finance</v>
      </c>
      <c r="J139" t="str">
        <f>CONCATENATE(Table1[[#This Row],[Last_Name]]," "," ",Table1[[#This Row],[First_Name]])</f>
        <v>Williams  Richard</v>
      </c>
      <c r="K139">
        <f ca="1">DATEDIF(Table1[[#This Row],[Hire Date]],TODAY(),"Y")</f>
        <v>10</v>
      </c>
      <c r="L139" t="str" cm="1">
        <f t="array" ref="L139">_xlfn.IFS(Table1[[#This Row],[Perf_Score]]&gt;=95,"Outstanding",Table1[[#This Row],[Perf_Score]]&gt;=85,"Exceeding",Table1[[#This Row],[Perf_Score]]&gt;=70,"Achieving",Table1[[#This Row],[Perf_Score]]&gt;=50,"Developing",Table1[[#This Row],[Perf_Score]]&gt;=0,"Needs Improvement")</f>
        <v>Developing</v>
      </c>
      <c r="M139" s="14" cm="1">
        <f t="array" ref="M139">_xlfn.IFS(Table1[[#This Row],[Perf_Score]]&gt;=95,0.12,Table1[[#This Row],[Perf_Score]]&gt;=85,0.08,Table1[[#This Row],[Perf_Score]]&gt;=70,0.05,Table1[[#This Row],[Perf_Score]]&gt;=50,0.02,Table1[[#This Row],[Perf_Score]]&gt;=0,0)</f>
        <v>0.02</v>
      </c>
    </row>
    <row r="140" spans="1:13" x14ac:dyDescent="0.25">
      <c r="A140" t="s">
        <v>182</v>
      </c>
      <c r="B140" t="s">
        <v>19</v>
      </c>
      <c r="C140" t="s">
        <v>14</v>
      </c>
      <c r="D140" t="s">
        <v>27</v>
      </c>
      <c r="E140" s="7">
        <v>43257</v>
      </c>
      <c r="F140" s="5">
        <v>52720</v>
      </c>
      <c r="G140">
        <v>68</v>
      </c>
      <c r="H140" t="str">
        <f ca="1">TRIM(PROPER(Table1[[#This Row],[Employment Status]]))</f>
        <v>Active</v>
      </c>
      <c r="I140" t="str">
        <f>VLOOKUP(Table1[[#This Row],[Dept Code]],Lookup_Departments!$A$2:$B$7,2,FALSE)</f>
        <v>Operations</v>
      </c>
      <c r="J140" t="str">
        <f>CONCATENATE(Table1[[#This Row],[Last_Name]]," "," ",Table1[[#This Row],[First_Name]])</f>
        <v>Hernandez  John</v>
      </c>
      <c r="K140">
        <f ca="1">DATEDIF(Table1[[#This Row],[Hire Date]],TODAY(),"Y")</f>
        <v>8</v>
      </c>
      <c r="L140" t="str" cm="1">
        <f t="array" ref="L140">_xlfn.IFS(Table1[[#This Row],[Perf_Score]]&gt;=95,"Outstanding",Table1[[#This Row],[Perf_Score]]&gt;=85,"Exceeding",Table1[[#This Row],[Perf_Score]]&gt;=70,"Achieving",Table1[[#This Row],[Perf_Score]]&gt;=50,"Developing",Table1[[#This Row],[Perf_Score]]&gt;=0,"Needs Improvement")</f>
        <v>Developing</v>
      </c>
      <c r="M140" s="14" cm="1">
        <f t="array" ref="M140">_xlfn.IFS(Table1[[#This Row],[Perf_Score]]&gt;=95,0.12,Table1[[#This Row],[Perf_Score]]&gt;=85,0.08,Table1[[#This Row],[Perf_Score]]&gt;=70,0.05,Table1[[#This Row],[Perf_Score]]&gt;=50,0.02,Table1[[#This Row],[Perf_Score]]&gt;=0,0)</f>
        <v>0.02</v>
      </c>
    </row>
    <row r="141" spans="1:13" x14ac:dyDescent="0.25">
      <c r="A141" t="s">
        <v>183</v>
      </c>
      <c r="B141" t="s">
        <v>70</v>
      </c>
      <c r="C141" t="s">
        <v>17</v>
      </c>
      <c r="D141" t="s">
        <v>27</v>
      </c>
      <c r="E141" s="7">
        <v>42932</v>
      </c>
      <c r="F141" s="5">
        <v>65065</v>
      </c>
      <c r="G141">
        <v>98</v>
      </c>
      <c r="H141" t="str">
        <f ca="1">TRIM(PROPER(Table1[[#This Row],[Employment Status]]))</f>
        <v>Active</v>
      </c>
      <c r="I141" t="str">
        <f>VLOOKUP(Table1[[#This Row],[Dept Code]],Lookup_Departments!$A$2:$B$7,2,FALSE)</f>
        <v>Operations</v>
      </c>
      <c r="J141" t="str">
        <f>CONCATENATE(Table1[[#This Row],[Last_Name]]," "," ",Table1[[#This Row],[First_Name]])</f>
        <v>Gonzalez  Sarah</v>
      </c>
      <c r="K141">
        <f ca="1">DATEDIF(Table1[[#This Row],[Hire Date]],TODAY(),"Y")</f>
        <v>9</v>
      </c>
      <c r="L141" t="str" cm="1">
        <f t="array" ref="L141">_xlfn.IFS(Table1[[#This Row],[Perf_Score]]&gt;=95,"Outstanding",Table1[[#This Row],[Perf_Score]]&gt;=85,"Exceeding",Table1[[#This Row],[Perf_Score]]&gt;=70,"Achieving",Table1[[#This Row],[Perf_Score]]&gt;=50,"Developing",Table1[[#This Row],[Perf_Score]]&gt;=0,"Needs Improvement")</f>
        <v>Outstanding</v>
      </c>
      <c r="M141" s="14" cm="1">
        <f t="array" ref="M141">_xlfn.IFS(Table1[[#This Row],[Perf_Score]]&gt;=95,0.12,Table1[[#This Row],[Perf_Score]]&gt;=85,0.08,Table1[[#This Row],[Perf_Score]]&gt;=70,0.05,Table1[[#This Row],[Perf_Score]]&gt;=50,0.02,Table1[[#This Row],[Perf_Score]]&gt;=0,0)</f>
        <v>0.12</v>
      </c>
    </row>
    <row r="142" spans="1:13" x14ac:dyDescent="0.25">
      <c r="A142" t="s">
        <v>184</v>
      </c>
      <c r="B142" t="s">
        <v>77</v>
      </c>
      <c r="C142" t="s">
        <v>14</v>
      </c>
      <c r="D142" t="s">
        <v>36</v>
      </c>
      <c r="E142" s="7">
        <v>42175</v>
      </c>
      <c r="F142" s="5">
        <v>83126</v>
      </c>
      <c r="G142">
        <v>94</v>
      </c>
      <c r="H142" t="str">
        <f ca="1">TRIM(PROPER(Table1[[#This Row],[Employment Status]]))</f>
        <v>Resigned</v>
      </c>
      <c r="I142" t="str">
        <f>VLOOKUP(Table1[[#This Row],[Dept Code]],Lookup_Departments!$A$2:$B$7,2,FALSE)</f>
        <v>Sales</v>
      </c>
      <c r="J142" t="str">
        <f>CONCATENATE(Table1[[#This Row],[Last_Name]]," "," ",Table1[[#This Row],[First_Name]])</f>
        <v>Hernandez  Melissa</v>
      </c>
      <c r="K142">
        <f ca="1">DATEDIF(Table1[[#This Row],[Hire Date]],TODAY(),"Y")</f>
        <v>11</v>
      </c>
      <c r="L142" t="str" cm="1">
        <f t="array" ref="L142">_xlfn.IFS(Table1[[#This Row],[Perf_Score]]&gt;=95,"Outstanding",Table1[[#This Row],[Perf_Score]]&gt;=85,"Exceeding",Table1[[#This Row],[Perf_Score]]&gt;=70,"Achieving",Table1[[#This Row],[Perf_Score]]&gt;=50,"Developing",Table1[[#This Row],[Perf_Score]]&gt;=0,"Needs Improvement")</f>
        <v>Exceeding</v>
      </c>
      <c r="M142" s="14" cm="1">
        <f t="array" ref="M142">_xlfn.IFS(Table1[[#This Row],[Perf_Score]]&gt;=95,0.12,Table1[[#This Row],[Perf_Score]]&gt;=85,0.08,Table1[[#This Row],[Perf_Score]]&gt;=70,0.05,Table1[[#This Row],[Perf_Score]]&gt;=50,0.02,Table1[[#This Row],[Perf_Score]]&gt;=0,0)</f>
        <v>0.08</v>
      </c>
    </row>
    <row r="143" spans="1:13" x14ac:dyDescent="0.25">
      <c r="A143" t="s">
        <v>185</v>
      </c>
      <c r="B143" t="s">
        <v>77</v>
      </c>
      <c r="C143" t="s">
        <v>14</v>
      </c>
      <c r="D143" t="s">
        <v>27</v>
      </c>
      <c r="E143" s="7">
        <v>43609</v>
      </c>
      <c r="F143" s="5">
        <v>108119</v>
      </c>
      <c r="G143">
        <v>57</v>
      </c>
      <c r="H143" t="str">
        <f ca="1">TRIM(PROPER(Table1[[#This Row],[Employment Status]]))</f>
        <v>Resigned</v>
      </c>
      <c r="I143" t="str">
        <f>VLOOKUP(Table1[[#This Row],[Dept Code]],Lookup_Departments!$A$2:$B$7,2,FALSE)</f>
        <v>Operations</v>
      </c>
      <c r="J143" t="str">
        <f>CONCATENATE(Table1[[#This Row],[Last_Name]]," "," ",Table1[[#This Row],[First_Name]])</f>
        <v>Hernandez  Melissa</v>
      </c>
      <c r="K143">
        <f ca="1">DATEDIF(Table1[[#This Row],[Hire Date]],TODAY(),"Y")</f>
        <v>7</v>
      </c>
      <c r="L143" t="str" cm="1">
        <f t="array" ref="L143">_xlfn.IFS(Table1[[#This Row],[Perf_Score]]&gt;=95,"Outstanding",Table1[[#This Row],[Perf_Score]]&gt;=85,"Exceeding",Table1[[#This Row],[Perf_Score]]&gt;=70,"Achieving",Table1[[#This Row],[Perf_Score]]&gt;=50,"Developing",Table1[[#This Row],[Perf_Score]]&gt;=0,"Needs Improvement")</f>
        <v>Developing</v>
      </c>
      <c r="M143" s="14" cm="1">
        <f t="array" ref="M143">_xlfn.IFS(Table1[[#This Row],[Perf_Score]]&gt;=95,0.12,Table1[[#This Row],[Perf_Score]]&gt;=85,0.08,Table1[[#This Row],[Perf_Score]]&gt;=70,0.05,Table1[[#This Row],[Perf_Score]]&gt;=50,0.02,Table1[[#This Row],[Perf_Score]]&gt;=0,0)</f>
        <v>0.02</v>
      </c>
    </row>
    <row r="144" spans="1:13" x14ac:dyDescent="0.25">
      <c r="A144" t="s">
        <v>186</v>
      </c>
      <c r="B144" t="s">
        <v>19</v>
      </c>
      <c r="C144" t="s">
        <v>49</v>
      </c>
      <c r="D144" t="s">
        <v>11</v>
      </c>
      <c r="E144" s="7">
        <v>43887</v>
      </c>
      <c r="F144" s="5">
        <v>83594</v>
      </c>
      <c r="G144">
        <v>96</v>
      </c>
      <c r="H144" t="str">
        <f ca="1">TRIM(PROPER(Table1[[#This Row],[Employment Status]]))</f>
        <v>Active</v>
      </c>
      <c r="I144" t="str">
        <f>VLOOKUP(Table1[[#This Row],[Dept Code]],Lookup_Departments!$A$2:$B$7,2,FALSE)</f>
        <v>Information Technology</v>
      </c>
      <c r="J144" t="str">
        <f>CONCATENATE(Table1[[#This Row],[Last_Name]]," "," ",Table1[[#This Row],[First_Name]])</f>
        <v>Davis  John</v>
      </c>
      <c r="K144">
        <f ca="1">DATEDIF(Table1[[#This Row],[Hire Date]],TODAY(),"Y")</f>
        <v>6</v>
      </c>
      <c r="L144" t="str" cm="1">
        <f t="array" ref="L144">_xlfn.IFS(Table1[[#This Row],[Perf_Score]]&gt;=95,"Outstanding",Table1[[#This Row],[Perf_Score]]&gt;=85,"Exceeding",Table1[[#This Row],[Perf_Score]]&gt;=70,"Achieving",Table1[[#This Row],[Perf_Score]]&gt;=50,"Developing",Table1[[#This Row],[Perf_Score]]&gt;=0,"Needs Improvement")</f>
        <v>Outstanding</v>
      </c>
      <c r="M144" s="14" cm="1">
        <f t="array" ref="M144">_xlfn.IFS(Table1[[#This Row],[Perf_Score]]&gt;=95,0.12,Table1[[#This Row],[Perf_Score]]&gt;=85,0.08,Table1[[#This Row],[Perf_Score]]&gt;=70,0.05,Table1[[#This Row],[Perf_Score]]&gt;=50,0.02,Table1[[#This Row],[Perf_Score]]&gt;=0,0)</f>
        <v>0.12</v>
      </c>
    </row>
    <row r="145" spans="1:13" x14ac:dyDescent="0.25">
      <c r="A145" t="s">
        <v>187</v>
      </c>
      <c r="B145" t="s">
        <v>13</v>
      </c>
      <c r="C145" t="s">
        <v>49</v>
      </c>
      <c r="D145" t="s">
        <v>72</v>
      </c>
      <c r="E145" s="7">
        <v>44991</v>
      </c>
      <c r="F145" s="5">
        <v>106896</v>
      </c>
      <c r="G145">
        <v>52</v>
      </c>
      <c r="H145" t="str">
        <f ca="1">TRIM(PROPER(Table1[[#This Row],[Employment Status]]))</f>
        <v>Left</v>
      </c>
      <c r="I145" t="str">
        <f>VLOOKUP(Table1[[#This Row],[Dept Code]],Lookup_Departments!$A$2:$B$7,2,FALSE)</f>
        <v>Human Resources</v>
      </c>
      <c r="J145" t="str">
        <f>CONCATENATE(Table1[[#This Row],[Last_Name]]," "," ",Table1[[#This Row],[First_Name]])</f>
        <v>Davis  Richard</v>
      </c>
      <c r="K145">
        <f ca="1">DATEDIF(Table1[[#This Row],[Hire Date]],TODAY(),"Y")</f>
        <v>3</v>
      </c>
      <c r="L145" t="str" cm="1">
        <f t="array" ref="L145">_xlfn.IFS(Table1[[#This Row],[Perf_Score]]&gt;=95,"Outstanding",Table1[[#This Row],[Perf_Score]]&gt;=85,"Exceeding",Table1[[#This Row],[Perf_Score]]&gt;=70,"Achieving",Table1[[#This Row],[Perf_Score]]&gt;=50,"Developing",Table1[[#This Row],[Perf_Score]]&gt;=0,"Needs Improvement")</f>
        <v>Developing</v>
      </c>
      <c r="M145" s="14" cm="1">
        <f t="array" ref="M145">_xlfn.IFS(Table1[[#This Row],[Perf_Score]]&gt;=95,0.12,Table1[[#This Row],[Perf_Score]]&gt;=85,0.08,Table1[[#This Row],[Perf_Score]]&gt;=70,0.05,Table1[[#This Row],[Perf_Score]]&gt;=50,0.02,Table1[[#This Row],[Perf_Score]]&gt;=0,0)</f>
        <v>0.02</v>
      </c>
    </row>
    <row r="146" spans="1:13" x14ac:dyDescent="0.25">
      <c r="A146" t="s">
        <v>188</v>
      </c>
      <c r="B146" t="s">
        <v>13</v>
      </c>
      <c r="C146" t="s">
        <v>46</v>
      </c>
      <c r="D146" t="s">
        <v>11</v>
      </c>
      <c r="E146" s="7">
        <v>43477</v>
      </c>
      <c r="F146" s="5">
        <v>112887</v>
      </c>
      <c r="G146">
        <v>59</v>
      </c>
      <c r="H146" t="str">
        <f ca="1">TRIM(PROPER(Table1[[#This Row],[Employment Status]]))</f>
        <v>Active</v>
      </c>
      <c r="I146" t="str">
        <f>VLOOKUP(Table1[[#This Row],[Dept Code]],Lookup_Departments!$A$2:$B$7,2,FALSE)</f>
        <v>Information Technology</v>
      </c>
      <c r="J146" t="str">
        <f>CONCATENATE(Table1[[#This Row],[Last_Name]]," "," ",Table1[[#This Row],[First_Name]])</f>
        <v>Jones  Richard</v>
      </c>
      <c r="K146">
        <f ca="1">DATEDIF(Table1[[#This Row],[Hire Date]],TODAY(),"Y")</f>
        <v>7</v>
      </c>
      <c r="L146" t="str" cm="1">
        <f t="array" ref="L146">_xlfn.IFS(Table1[[#This Row],[Perf_Score]]&gt;=95,"Outstanding",Table1[[#This Row],[Perf_Score]]&gt;=85,"Exceeding",Table1[[#This Row],[Perf_Score]]&gt;=70,"Achieving",Table1[[#This Row],[Perf_Score]]&gt;=50,"Developing",Table1[[#This Row],[Perf_Score]]&gt;=0,"Needs Improvement")</f>
        <v>Developing</v>
      </c>
      <c r="M146" s="14" cm="1">
        <f t="array" ref="M146">_xlfn.IFS(Table1[[#This Row],[Perf_Score]]&gt;=95,0.12,Table1[[#This Row],[Perf_Score]]&gt;=85,0.08,Table1[[#This Row],[Perf_Score]]&gt;=70,0.05,Table1[[#This Row],[Perf_Score]]&gt;=50,0.02,Table1[[#This Row],[Perf_Score]]&gt;=0,0)</f>
        <v>0.02</v>
      </c>
    </row>
    <row r="147" spans="1:13" x14ac:dyDescent="0.25">
      <c r="A147" t="s">
        <v>189</v>
      </c>
      <c r="B147" t="s">
        <v>114</v>
      </c>
      <c r="C147" t="s">
        <v>33</v>
      </c>
      <c r="D147" t="s">
        <v>21</v>
      </c>
      <c r="E147" s="7">
        <v>45037</v>
      </c>
      <c r="F147" s="5">
        <v>85457</v>
      </c>
      <c r="G147">
        <v>79</v>
      </c>
      <c r="H147" t="str">
        <f ca="1">TRIM(PROPER(Table1[[#This Row],[Employment Status]]))</f>
        <v>Active</v>
      </c>
      <c r="I147" t="str">
        <f>VLOOKUP(Table1[[#This Row],[Dept Code]],Lookup_Departments!$A$2:$B$7,2,FALSE)</f>
        <v>Finance</v>
      </c>
      <c r="J147" t="str">
        <f>CONCATENATE(Table1[[#This Row],[Last_Name]]," "," ",Table1[[#This Row],[First_Name]])</f>
        <v>Rodriguez  William</v>
      </c>
      <c r="K147">
        <f ca="1">DATEDIF(Table1[[#This Row],[Hire Date]],TODAY(),"Y")</f>
        <v>3</v>
      </c>
      <c r="L147" t="str" cm="1">
        <f t="array" ref="L147">_xlfn.IFS(Table1[[#This Row],[Perf_Score]]&gt;=95,"Outstanding",Table1[[#This Row],[Perf_Score]]&gt;=85,"Exceeding",Table1[[#This Row],[Perf_Score]]&gt;=70,"Achieving",Table1[[#This Row],[Perf_Score]]&gt;=50,"Developing",Table1[[#This Row],[Perf_Score]]&gt;=0,"Needs Improvement")</f>
        <v>Achieving</v>
      </c>
      <c r="M147" s="14" cm="1">
        <f t="array" ref="M147">_xlfn.IFS(Table1[[#This Row],[Perf_Score]]&gt;=95,0.12,Table1[[#This Row],[Perf_Score]]&gt;=85,0.08,Table1[[#This Row],[Perf_Score]]&gt;=70,0.05,Table1[[#This Row],[Perf_Score]]&gt;=50,0.02,Table1[[#This Row],[Perf_Score]]&gt;=0,0)</f>
        <v>0.05</v>
      </c>
    </row>
    <row r="148" spans="1:13" x14ac:dyDescent="0.25">
      <c r="A148" t="s">
        <v>190</v>
      </c>
      <c r="B148" t="s">
        <v>77</v>
      </c>
      <c r="C148" t="s">
        <v>38</v>
      </c>
      <c r="D148" t="s">
        <v>36</v>
      </c>
      <c r="E148" s="7">
        <v>42519</v>
      </c>
      <c r="F148" s="5">
        <v>62798</v>
      </c>
      <c r="G148">
        <v>30</v>
      </c>
      <c r="H148" t="str">
        <f ca="1">TRIM(PROPER(Table1[[#This Row],[Employment Status]]))</f>
        <v>Active</v>
      </c>
      <c r="I148" t="str">
        <f>VLOOKUP(Table1[[#This Row],[Dept Code]],Lookup_Departments!$A$2:$B$7,2,FALSE)</f>
        <v>Sales</v>
      </c>
      <c r="J148" t="str">
        <f>CONCATENATE(Table1[[#This Row],[Last_Name]]," "," ",Table1[[#This Row],[First_Name]])</f>
        <v>Miller  Melissa</v>
      </c>
      <c r="K148">
        <f ca="1">DATEDIF(Table1[[#This Row],[Hire Date]],TODAY(),"Y")</f>
        <v>10</v>
      </c>
      <c r="L148" t="str" cm="1">
        <f t="array" ref="L148">_xlfn.IFS(Table1[[#This Row],[Perf_Score]]&gt;=95,"Outstanding",Table1[[#This Row],[Perf_Score]]&gt;=85,"Exceeding",Table1[[#This Row],[Perf_Score]]&gt;=70,"Achieving",Table1[[#This Row],[Perf_Score]]&gt;=50,"Developing",Table1[[#This Row],[Perf_Score]]&gt;=0,"Needs Improvement")</f>
        <v>Needs Improvement</v>
      </c>
      <c r="M148" s="14" cm="1">
        <f t="array" ref="M148">_xlfn.IFS(Table1[[#This Row],[Perf_Score]]&gt;=95,0.12,Table1[[#This Row],[Perf_Score]]&gt;=85,0.08,Table1[[#This Row],[Perf_Score]]&gt;=70,0.05,Table1[[#This Row],[Perf_Score]]&gt;=50,0.02,Table1[[#This Row],[Perf_Score]]&gt;=0,0)</f>
        <v>0</v>
      </c>
    </row>
    <row r="149" spans="1:13" x14ac:dyDescent="0.25">
      <c r="A149" t="s">
        <v>191</v>
      </c>
      <c r="B149" t="s">
        <v>9</v>
      </c>
      <c r="C149" t="s">
        <v>20</v>
      </c>
      <c r="D149" t="s">
        <v>27</v>
      </c>
      <c r="E149" s="7">
        <v>44711</v>
      </c>
      <c r="F149" s="5">
        <v>47794</v>
      </c>
      <c r="G149">
        <v>73</v>
      </c>
      <c r="H149" t="str">
        <f ca="1">TRIM(PROPER(Table1[[#This Row],[Employment Status]]))</f>
        <v>Left</v>
      </c>
      <c r="I149" t="str">
        <f>VLOOKUP(Table1[[#This Row],[Dept Code]],Lookup_Departments!$A$2:$B$7,2,FALSE)</f>
        <v>Operations</v>
      </c>
      <c r="J149" t="str">
        <f>CONCATENATE(Table1[[#This Row],[Last_Name]]," "," ",Table1[[#This Row],[First_Name]])</f>
        <v>Martinez  Emily</v>
      </c>
      <c r="K149">
        <f ca="1">DATEDIF(Table1[[#This Row],[Hire Date]],TODAY(),"Y")</f>
        <v>4</v>
      </c>
      <c r="L149" t="str" cm="1">
        <f t="array" ref="L149">_xlfn.IFS(Table1[[#This Row],[Perf_Score]]&gt;=95,"Outstanding",Table1[[#This Row],[Perf_Score]]&gt;=85,"Exceeding",Table1[[#This Row],[Perf_Score]]&gt;=70,"Achieving",Table1[[#This Row],[Perf_Score]]&gt;=50,"Developing",Table1[[#This Row],[Perf_Score]]&gt;=0,"Needs Improvement")</f>
        <v>Achieving</v>
      </c>
      <c r="M149" s="14" cm="1">
        <f t="array" ref="M149">_xlfn.IFS(Table1[[#This Row],[Perf_Score]]&gt;=95,0.12,Table1[[#This Row],[Perf_Score]]&gt;=85,0.08,Table1[[#This Row],[Perf_Score]]&gt;=70,0.05,Table1[[#This Row],[Perf_Score]]&gt;=50,0.02,Table1[[#This Row],[Perf_Score]]&gt;=0,0)</f>
        <v>0.05</v>
      </c>
    </row>
    <row r="150" spans="1:13" x14ac:dyDescent="0.25">
      <c r="A150" t="s">
        <v>192</v>
      </c>
      <c r="B150" t="s">
        <v>51</v>
      </c>
      <c r="C150" t="s">
        <v>33</v>
      </c>
      <c r="D150" t="s">
        <v>15</v>
      </c>
      <c r="E150" s="7">
        <v>42677</v>
      </c>
      <c r="F150" s="5">
        <v>93094</v>
      </c>
      <c r="G150">
        <v>74</v>
      </c>
      <c r="H150" t="str">
        <f ca="1">TRIM(PROPER(Table1[[#This Row],[Employment Status]]))</f>
        <v>Active</v>
      </c>
      <c r="I150" t="str">
        <f>VLOOKUP(Table1[[#This Row],[Dept Code]],Lookup_Departments!$A$2:$B$7,2,FALSE)</f>
        <v>Marketing</v>
      </c>
      <c r="J150" t="str">
        <f>CONCATENATE(Table1[[#This Row],[Last_Name]]," "," ",Table1[[#This Row],[First_Name]])</f>
        <v>Rodriguez  James</v>
      </c>
      <c r="K150">
        <f ca="1">DATEDIF(Table1[[#This Row],[Hire Date]],TODAY(),"Y")</f>
        <v>9</v>
      </c>
      <c r="L150" t="str" cm="1">
        <f t="array" ref="L150">_xlfn.IFS(Table1[[#This Row],[Perf_Score]]&gt;=95,"Outstanding",Table1[[#This Row],[Perf_Score]]&gt;=85,"Exceeding",Table1[[#This Row],[Perf_Score]]&gt;=70,"Achieving",Table1[[#This Row],[Perf_Score]]&gt;=50,"Developing",Table1[[#This Row],[Perf_Score]]&gt;=0,"Needs Improvement")</f>
        <v>Achieving</v>
      </c>
      <c r="M150" s="14" cm="1">
        <f t="array" ref="M150">_xlfn.IFS(Table1[[#This Row],[Perf_Score]]&gt;=95,0.12,Table1[[#This Row],[Perf_Score]]&gt;=85,0.08,Table1[[#This Row],[Perf_Score]]&gt;=70,0.05,Table1[[#This Row],[Perf_Score]]&gt;=50,0.02,Table1[[#This Row],[Perf_Score]]&gt;=0,0)</f>
        <v>0.05</v>
      </c>
    </row>
    <row r="151" spans="1:13" x14ac:dyDescent="0.25">
      <c r="A151" t="s">
        <v>193</v>
      </c>
      <c r="B151" t="s">
        <v>56</v>
      </c>
      <c r="C151" t="s">
        <v>10</v>
      </c>
      <c r="D151" t="s">
        <v>11</v>
      </c>
      <c r="E151" s="7">
        <v>44848</v>
      </c>
      <c r="F151" s="5">
        <v>118634</v>
      </c>
      <c r="G151">
        <v>91</v>
      </c>
      <c r="H151" t="str">
        <f ca="1">TRIM(PROPER(Table1[[#This Row],[Employment Status]]))</f>
        <v>Active</v>
      </c>
      <c r="I151" t="str">
        <f>VLOOKUP(Table1[[#This Row],[Dept Code]],Lookup_Departments!$A$2:$B$7,2,FALSE)</f>
        <v>Information Technology</v>
      </c>
      <c r="J151" t="str">
        <f>CONCATENATE(Table1[[#This Row],[Last_Name]]," "," ",Table1[[#This Row],[First_Name]])</f>
        <v>Brown  Amanda</v>
      </c>
      <c r="K151">
        <f ca="1">DATEDIF(Table1[[#This Row],[Hire Date]],TODAY(),"Y")</f>
        <v>3</v>
      </c>
      <c r="L151" t="str" cm="1">
        <f t="array" ref="L151">_xlfn.IFS(Table1[[#This Row],[Perf_Score]]&gt;=95,"Outstanding",Table1[[#This Row],[Perf_Score]]&gt;=85,"Exceeding",Table1[[#This Row],[Perf_Score]]&gt;=70,"Achieving",Table1[[#This Row],[Perf_Score]]&gt;=50,"Developing",Table1[[#This Row],[Perf_Score]]&gt;=0,"Needs Improvement")</f>
        <v>Exceeding</v>
      </c>
      <c r="M151" s="14" cm="1">
        <f t="array" ref="M151">_xlfn.IFS(Table1[[#This Row],[Perf_Score]]&gt;=95,0.12,Table1[[#This Row],[Perf_Score]]&gt;=85,0.08,Table1[[#This Row],[Perf_Score]]&gt;=70,0.05,Table1[[#This Row],[Perf_Score]]&gt;=50,0.02,Table1[[#This Row],[Perf_Score]]&gt;=0,0)</f>
        <v>0.08</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C1" sqref="C1"/>
    </sheetView>
  </sheetViews>
  <sheetFormatPr defaultRowHeight="15" x14ac:dyDescent="0.25"/>
  <cols>
    <col min="1" max="1" width="10.85546875" bestFit="1" customWidth="1"/>
    <col min="2" max="2" width="22.5703125" bestFit="1" customWidth="1"/>
  </cols>
  <sheetData>
    <row r="1" spans="1:2" x14ac:dyDescent="0.25">
      <c r="A1" s="1" t="s">
        <v>194</v>
      </c>
      <c r="B1" s="1" t="s">
        <v>195</v>
      </c>
    </row>
    <row r="2" spans="1:2" x14ac:dyDescent="0.25">
      <c r="A2" t="s">
        <v>72</v>
      </c>
      <c r="B2" t="s">
        <v>196</v>
      </c>
    </row>
    <row r="3" spans="1:2" x14ac:dyDescent="0.25">
      <c r="A3" t="s">
        <v>11</v>
      </c>
      <c r="B3" t="s">
        <v>197</v>
      </c>
    </row>
    <row r="4" spans="1:2" x14ac:dyDescent="0.25">
      <c r="A4" t="s">
        <v>21</v>
      </c>
      <c r="B4" t="s">
        <v>198</v>
      </c>
    </row>
    <row r="5" spans="1:2" x14ac:dyDescent="0.25">
      <c r="A5" t="s">
        <v>15</v>
      </c>
      <c r="B5" t="s">
        <v>199</v>
      </c>
    </row>
    <row r="6" spans="1:2" x14ac:dyDescent="0.25">
      <c r="A6" t="s">
        <v>36</v>
      </c>
      <c r="B6" t="s">
        <v>200</v>
      </c>
    </row>
    <row r="7" spans="1:2" x14ac:dyDescent="0.25">
      <c r="A7" t="s">
        <v>27</v>
      </c>
      <c r="B7" t="s">
        <v>201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F5" sqref="F5"/>
    </sheetView>
  </sheetViews>
  <sheetFormatPr defaultRowHeight="15" x14ac:dyDescent="0.25"/>
  <cols>
    <col min="1" max="1" width="10.42578125" bestFit="1" customWidth="1"/>
    <col min="2" max="2" width="10.7109375" bestFit="1" customWidth="1"/>
    <col min="3" max="3" width="19.5703125" bestFit="1" customWidth="1"/>
    <col min="4" max="4" width="17.7109375" bestFit="1" customWidth="1"/>
  </cols>
  <sheetData>
    <row r="1" spans="1:4" x14ac:dyDescent="0.25">
      <c r="A1" s="1" t="s">
        <v>202</v>
      </c>
      <c r="B1" s="1" t="s">
        <v>203</v>
      </c>
      <c r="C1" s="1" t="s">
        <v>204</v>
      </c>
      <c r="D1" s="1" t="s">
        <v>205</v>
      </c>
    </row>
    <row r="2" spans="1:4" x14ac:dyDescent="0.25">
      <c r="A2">
        <v>0</v>
      </c>
      <c r="B2">
        <v>49</v>
      </c>
      <c r="C2" t="s">
        <v>206</v>
      </c>
      <c r="D2">
        <v>0</v>
      </c>
    </row>
    <row r="3" spans="1:4" x14ac:dyDescent="0.25">
      <c r="A3">
        <v>50</v>
      </c>
      <c r="B3">
        <v>69</v>
      </c>
      <c r="C3" t="s">
        <v>207</v>
      </c>
      <c r="D3">
        <v>0.02</v>
      </c>
    </row>
    <row r="4" spans="1:4" x14ac:dyDescent="0.25">
      <c r="A4">
        <v>70</v>
      </c>
      <c r="B4">
        <v>84</v>
      </c>
      <c r="C4" t="s">
        <v>208</v>
      </c>
      <c r="D4">
        <v>0.05</v>
      </c>
    </row>
    <row r="5" spans="1:4" x14ac:dyDescent="0.25">
      <c r="A5">
        <v>85</v>
      </c>
      <c r="B5">
        <v>94</v>
      </c>
      <c r="C5" t="s">
        <v>209</v>
      </c>
      <c r="D5">
        <v>0.08</v>
      </c>
    </row>
    <row r="6" spans="1:4" x14ac:dyDescent="0.25">
      <c r="A6">
        <v>95</v>
      </c>
      <c r="B6">
        <v>100</v>
      </c>
      <c r="C6" t="s">
        <v>210</v>
      </c>
      <c r="D6">
        <v>0.12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Sheet2</vt:lpstr>
      <vt:lpstr>HR_DASHBOARD</vt:lpstr>
      <vt:lpstr>HR_ANALYTICS PIVOT TABLE</vt:lpstr>
      <vt:lpstr>pivot chart</vt:lpstr>
      <vt:lpstr>Sheet1</vt:lpstr>
      <vt:lpstr>Raw_Employee_Data</vt:lpstr>
      <vt:lpstr>Lookup_Departments</vt:lpstr>
      <vt:lpstr>Lookup_Performance</vt:lpstr>
      <vt:lpstr>Employee</vt:lpstr>
      <vt:lpstr>HR_PIVOT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Taiwo Rahmon</cp:lastModifiedBy>
  <dcterms:created xsi:type="dcterms:W3CDTF">2026-06-04T20:20:01Z</dcterms:created>
  <dcterms:modified xsi:type="dcterms:W3CDTF">2026-07-19T01:13:38Z</dcterms:modified>
</cp:coreProperties>
</file>